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beems/Library/CloudStorage/Dropbox/08 Universität/01 BWL/Masters Thesis/Data/Player Performance/"/>
    </mc:Choice>
  </mc:AlternateContent>
  <xr:revisionPtr revIDLastSave="0" documentId="13_ncr:1_{353C0488-FD87-7244-9DD7-2D541346BB51}" xr6:coauthVersionLast="47" xr6:coauthVersionMax="47" xr10:uidLastSave="{00000000-0000-0000-0000-000000000000}"/>
  <bookViews>
    <workbookView xWindow="0" yWindow="700" windowWidth="34200" windowHeight="19940" xr2:uid="{00000000-000D-0000-FFFF-FFFF00000000}"/>
  </bookViews>
  <sheets>
    <sheet name="Sheet1" sheetId="1" r:id="rId1"/>
  </sheets>
  <definedNames>
    <definedName name="_xlnm._FilterDatabase" localSheetId="0" hidden="1">Sheet1!$A$1:$AC$541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1" l="1"/>
  <c r="H58" i="1"/>
  <c r="J58" i="1"/>
  <c r="L58" i="1"/>
  <c r="N58" i="1"/>
  <c r="P58" i="1"/>
  <c r="T58" i="1"/>
  <c r="V58" i="1"/>
  <c r="X5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2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2" i="1"/>
</calcChain>
</file>

<file path=xl/sharedStrings.xml><?xml version="1.0" encoding="utf-8"?>
<sst xmlns="http://schemas.openxmlformats.org/spreadsheetml/2006/main" count="1649" uniqueCount="225">
  <si>
    <t>player_id</t>
  </si>
  <si>
    <t>player_name</t>
  </si>
  <si>
    <t>games</t>
  </si>
  <si>
    <t>time</t>
  </si>
  <si>
    <t>goals</t>
  </si>
  <si>
    <t>xG</t>
  </si>
  <si>
    <t>assists</t>
  </si>
  <si>
    <t>xA</t>
  </si>
  <si>
    <t>shots</t>
  </si>
  <si>
    <t>key_passes</t>
  </si>
  <si>
    <t>position</t>
  </si>
  <si>
    <t>team_name</t>
  </si>
  <si>
    <t>npg</t>
  </si>
  <si>
    <t>npxG</t>
  </si>
  <si>
    <t>xGChain</t>
  </si>
  <si>
    <t>xGBuildup</t>
  </si>
  <si>
    <t>year</t>
  </si>
  <si>
    <t>mco_period</t>
  </si>
  <si>
    <t>market_value</t>
  </si>
  <si>
    <t>Timo Werner</t>
  </si>
  <si>
    <t>VfB Stuttgart</t>
  </si>
  <si>
    <t>RasenBallsport Leipzig</t>
  </si>
  <si>
    <t>Carlos Gruezo</t>
  </si>
  <si>
    <t>Augsburg</t>
  </si>
  <si>
    <t>Dante</t>
  </si>
  <si>
    <t>Nice</t>
  </si>
  <si>
    <t>Granit Xhaka</t>
  </si>
  <si>
    <t>Borussia M.Gladbach</t>
  </si>
  <si>
    <t>Arsenal</t>
  </si>
  <si>
    <t>Thiago Alcántara</t>
  </si>
  <si>
    <t>Bayern Munich</t>
  </si>
  <si>
    <t>Liverpool</t>
  </si>
  <si>
    <t>Pascal Groß</t>
  </si>
  <si>
    <t>Ingolstadt</t>
  </si>
  <si>
    <t>Brighton</t>
  </si>
  <si>
    <t>Florian Niederlechner</t>
  </si>
  <si>
    <t>Ilkay Gündogan</t>
  </si>
  <si>
    <t>Borussia Dortmund</t>
  </si>
  <si>
    <t>Manchester City</t>
  </si>
  <si>
    <t>Henrikh Mkhitaryan</t>
  </si>
  <si>
    <t>Manchester United</t>
  </si>
  <si>
    <t>Pierre-Emerick Aubameyang</t>
  </si>
  <si>
    <t>Franck Ribéry</t>
  </si>
  <si>
    <t>Fiorentina</t>
  </si>
  <si>
    <t>Joel Matip</t>
  </si>
  <si>
    <t>Leroy Sané</t>
  </si>
  <si>
    <t>Schalke 04</t>
  </si>
  <si>
    <t>Sead Kolasinac</t>
  </si>
  <si>
    <t>Roberto Firmino</t>
  </si>
  <si>
    <t>James Milner</t>
  </si>
  <si>
    <t>Héctor Bellerín</t>
  </si>
  <si>
    <t>Laurent Koscielny</t>
  </si>
  <si>
    <t>Nacho Monreal</t>
  </si>
  <si>
    <t>Mesut Özil</t>
  </si>
  <si>
    <t>Alex Iwobi</t>
  </si>
  <si>
    <t>Olivier Giroud</t>
  </si>
  <si>
    <t>Chelsea</t>
  </si>
  <si>
    <t>AC Milan</t>
  </si>
  <si>
    <t>Aaron Ramsey</t>
  </si>
  <si>
    <t>Wilfried Zaha</t>
  </si>
  <si>
    <t>Crystal Palace</t>
  </si>
  <si>
    <t>Angelo Ogbonna</t>
  </si>
  <si>
    <t>West Ham</t>
  </si>
  <si>
    <t>Michail Antonio</t>
  </si>
  <si>
    <t>Cheikhou Kouyaté</t>
  </si>
  <si>
    <t>Dimitri Payet</t>
  </si>
  <si>
    <t>Marseille</t>
  </si>
  <si>
    <t>John Stones</t>
  </si>
  <si>
    <t>Everton</t>
  </si>
  <si>
    <t>Jordan Henderson</t>
  </si>
  <si>
    <t>Christian Benteke</t>
  </si>
  <si>
    <t>Nicolás Otamendi</t>
  </si>
  <si>
    <t>Valencia</t>
  </si>
  <si>
    <t>Fernando</t>
  </si>
  <si>
    <t>Sevilla</t>
  </si>
  <si>
    <t>Jesús Navas</t>
  </si>
  <si>
    <t>James McArthur</t>
  </si>
  <si>
    <t>Erik Lamela</t>
  </si>
  <si>
    <t>Tottenham</t>
  </si>
  <si>
    <t>Jordan Ayew</t>
  </si>
  <si>
    <t>Nemanja Matic</t>
  </si>
  <si>
    <t>Roma</t>
  </si>
  <si>
    <t>Lyon</t>
  </si>
  <si>
    <t>Jeffrey Schlupp</t>
  </si>
  <si>
    <t>Adama Traoré</t>
  </si>
  <si>
    <t>Wolverhampton Wanderers</t>
  </si>
  <si>
    <t>Kurt Zouma</t>
  </si>
  <si>
    <t>Miguel Veloso</t>
  </si>
  <si>
    <t>Genoa</t>
  </si>
  <si>
    <t>Verona</t>
  </si>
  <si>
    <t>Darko Lazovic</t>
  </si>
  <si>
    <t>Lucas Ocampos</t>
  </si>
  <si>
    <t>Mario Pasalic</t>
  </si>
  <si>
    <t>Atalanta</t>
  </si>
  <si>
    <t>Silvan Widmer</t>
  </si>
  <si>
    <t>Udinese</t>
  </si>
  <si>
    <t>Danilo</t>
  </si>
  <si>
    <t>Emil Hallfredsson</t>
  </si>
  <si>
    <t>Davide Zappacosta</t>
  </si>
  <si>
    <t>Mohamed Salah</t>
  </si>
  <si>
    <t>Rade Krunic</t>
  </si>
  <si>
    <t>Elseid Hysaj</t>
  </si>
  <si>
    <t>Napoli</t>
  </si>
  <si>
    <t>Kalidou Koulibaly</t>
  </si>
  <si>
    <t>Allan</t>
  </si>
  <si>
    <t>José Callejón</t>
  </si>
  <si>
    <t>Dries Mertens</t>
  </si>
  <si>
    <t>Piotr Zielinski</t>
  </si>
  <si>
    <t>Lorenzo Insigne</t>
  </si>
  <si>
    <t>Rafael Toloi</t>
  </si>
  <si>
    <t>Alejandro Gomez</t>
  </si>
  <si>
    <t>Giancarlo Gonzalez</t>
  </si>
  <si>
    <t>Palermo</t>
  </si>
  <si>
    <t>Bologna</t>
  </si>
  <si>
    <t>Davide Calabria</t>
  </si>
  <si>
    <t>Simone Zaza</t>
  </si>
  <si>
    <t>Sassuolo</t>
  </si>
  <si>
    <t>Juventus</t>
  </si>
  <si>
    <t>Andrew Robertson</t>
  </si>
  <si>
    <t>Marten de Roon</t>
  </si>
  <si>
    <t>Jarrod Bowen</t>
  </si>
  <si>
    <t>Trent Alexander-Arnold</t>
  </si>
  <si>
    <t>Kamil Glik</t>
  </si>
  <si>
    <t>Torino</t>
  </si>
  <si>
    <t>Monaco</t>
  </si>
  <si>
    <t>Lucas Digne</t>
  </si>
  <si>
    <t>Aston Villa</t>
  </si>
  <si>
    <t>Berat Gjimshiti</t>
  </si>
  <si>
    <t>Ivan Rakitic</t>
  </si>
  <si>
    <t>Barcelona</t>
  </si>
  <si>
    <t>Marco Asensio</t>
  </si>
  <si>
    <t>Real Madrid</t>
  </si>
  <si>
    <t>Paris Saint Germain</t>
  </si>
  <si>
    <t>Joan Jordán</t>
  </si>
  <si>
    <t>Germán Pezzella</t>
  </si>
  <si>
    <t>Óliver Torres</t>
  </si>
  <si>
    <t>José Gayá</t>
  </si>
  <si>
    <t>Theo Hernández</t>
  </si>
  <si>
    <t>Jeffrey Gouweleeuw</t>
  </si>
  <si>
    <t>Ousmane Dembélé</t>
  </si>
  <si>
    <t>Alexandre Lacazette</t>
  </si>
  <si>
    <t>Marquinhos</t>
  </si>
  <si>
    <t>Djibril Sidibe</t>
  </si>
  <si>
    <t>Lille</t>
  </si>
  <si>
    <t>Karim Rekik</t>
  </si>
  <si>
    <t>Hertha Berlin</t>
  </si>
  <si>
    <t>Fabinho</t>
  </si>
  <si>
    <t>João Moutinho</t>
  </si>
  <si>
    <t>Romain Saiss</t>
  </si>
  <si>
    <t>Serge Aurier</t>
  </si>
  <si>
    <t>Villarreal</t>
  </si>
  <si>
    <t>Nottingham Forest</t>
  </si>
  <si>
    <t>Corentin Tolisso</t>
  </si>
  <si>
    <t>Raúl Jiménez</t>
  </si>
  <si>
    <t>Simon Kjaer</t>
  </si>
  <si>
    <t>Laurent Abergel</t>
  </si>
  <si>
    <t>Lorient</t>
  </si>
  <si>
    <t>Hans Hateboer</t>
  </si>
  <si>
    <t>Youssef En-Nesyri</t>
  </si>
  <si>
    <t>Leganes</t>
  </si>
  <si>
    <t>Achraf Hakimi</t>
  </si>
  <si>
    <t>Leon Bailey</t>
  </si>
  <si>
    <t>Luka Milivojevic</t>
  </si>
  <si>
    <t>Ademola Lookman</t>
  </si>
  <si>
    <t>Fulham</t>
  </si>
  <si>
    <t>Leicester</t>
  </si>
  <si>
    <t>Yves Bissouma</t>
  </si>
  <si>
    <t>Pierre Lees-Melou</t>
  </si>
  <si>
    <t>Fernando Marçal</t>
  </si>
  <si>
    <t>Youri Tielemans</t>
  </si>
  <si>
    <t>Moussa Niakhate</t>
  </si>
  <si>
    <t>Mainz 05</t>
  </si>
  <si>
    <t>Orel Mangala</t>
  </si>
  <si>
    <t>Felix Uduokhai</t>
  </si>
  <si>
    <t>Mario Hermoso</t>
  </si>
  <si>
    <t>Atletico Madrid</t>
  </si>
  <si>
    <t>Nélson Semedo</t>
  </si>
  <si>
    <t>Nikola Milenkovic</t>
  </si>
  <si>
    <t>Pau Torres</t>
  </si>
  <si>
    <t>Trevoh Chalobah</t>
  </si>
  <si>
    <t>Willy Boly</t>
  </si>
  <si>
    <t>Conor Coady</t>
  </si>
  <si>
    <t>Rúben Neves</t>
  </si>
  <si>
    <t>Diogo Jota</t>
  </si>
  <si>
    <t>Naif Aguerd</t>
  </si>
  <si>
    <t>Rennes</t>
  </si>
  <si>
    <t>Ismael Bennacer</t>
  </si>
  <si>
    <t>Rafael Leão</t>
  </si>
  <si>
    <t>Leander Dendoncker</t>
  </si>
  <si>
    <t>Lee Kang-In</t>
  </si>
  <si>
    <t>Mallorca</t>
  </si>
  <si>
    <t>Yangel Herrera</t>
  </si>
  <si>
    <t>Granada</t>
  </si>
  <si>
    <t>Espanyol</t>
  </si>
  <si>
    <t>Girona</t>
  </si>
  <si>
    <t>Lucas Paquetá</t>
  </si>
  <si>
    <t>Reinildo</t>
  </si>
  <si>
    <t>John McGinn</t>
  </si>
  <si>
    <t>Ezri Konsa Ngoyo</t>
  </si>
  <si>
    <t>Ruben Vargas</t>
  </si>
  <si>
    <t>Taiwo Awoniyi</t>
  </si>
  <si>
    <t>Union Berlin</t>
  </si>
  <si>
    <t>Nemanja Gudelj</t>
  </si>
  <si>
    <t>Iago</t>
  </si>
  <si>
    <t>Tomas Soucek</t>
  </si>
  <si>
    <t>Matthew Cash</t>
  </si>
  <si>
    <t>Ollie Watkins</t>
  </si>
  <si>
    <t>Jacob Ramsey</t>
  </si>
  <si>
    <t>Vladimir Coufal</t>
  </si>
  <si>
    <t>Malo Gusto</t>
  </si>
  <si>
    <t>Dango Ouattara</t>
  </si>
  <si>
    <t>Bournemouth</t>
  </si>
  <si>
    <t>goals90</t>
  </si>
  <si>
    <t>xG90</t>
  </si>
  <si>
    <t>assists90</t>
  </si>
  <si>
    <t>xA90</t>
  </si>
  <si>
    <t>shots90</t>
  </si>
  <si>
    <t>key_passes90</t>
  </si>
  <si>
    <t>npg90</t>
  </si>
  <si>
    <t>npxG90</t>
  </si>
  <si>
    <t>xGChain90</t>
  </si>
  <si>
    <t>xGBuildup90</t>
  </si>
  <si>
    <t>Forward</t>
  </si>
  <si>
    <t xml:space="preserve">Midfield </t>
  </si>
  <si>
    <t>Defender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</si>
</sst>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41"/>
  <sheetViews>
    <sheetView tabSelected="1" topLeftCell="G1" zoomScale="125" workbookViewId="0">
      <selection activeCell="AD6" sqref="AD6"/>
    </sheetView>
  </sheetViews>
  <sheetFormatPr baseColWidth="10" defaultColWidth="8.83203125" defaultRowHeight="15" x14ac:dyDescent="0.2"/>
  <cols>
    <col min="1" max="1" width="9" bestFit="1" customWidth="1"/>
    <col min="3" max="5" width="9" bestFit="1" customWidth="1"/>
    <col min="6" max="8" width="9" style="2" bestFit="1" customWidth="1"/>
    <col min="9" max="9" width="9" bestFit="1" customWidth="1"/>
    <col min="10" max="12" width="9" style="2" bestFit="1" customWidth="1"/>
    <col min="13" max="13" width="9" bestFit="1" customWidth="1"/>
    <col min="14" max="14" width="9" style="2" bestFit="1" customWidth="1"/>
    <col min="15" max="15" width="9" bestFit="1" customWidth="1"/>
    <col min="16" max="16" width="9" style="2" bestFit="1" customWidth="1"/>
    <col min="19" max="19" width="9" bestFit="1" customWidth="1"/>
    <col min="20" max="24" width="9" style="2" bestFit="1" customWidth="1"/>
    <col min="25" max="25" width="9.33203125" style="2" bestFit="1" customWidth="1"/>
    <col min="26" max="26" width="11.33203125" style="2" bestFit="1" customWidth="1"/>
    <col min="27" max="28" width="9" bestFit="1" customWidth="1"/>
    <col min="29" max="29" width="9.1640625" bestFit="1" customWidth="1"/>
  </cols>
  <sheetData>
    <row r="1" spans="1:2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212</v>
      </c>
      <c r="G1" s="1" t="s">
        <v>5</v>
      </c>
      <c r="H1" s="1" t="s">
        <v>213</v>
      </c>
      <c r="I1" s="1" t="s">
        <v>6</v>
      </c>
      <c r="J1" s="1" t="s">
        <v>214</v>
      </c>
      <c r="K1" s="1" t="s">
        <v>7</v>
      </c>
      <c r="L1" s="1" t="s">
        <v>215</v>
      </c>
      <c r="M1" s="1" t="s">
        <v>8</v>
      </c>
      <c r="N1" s="1" t="s">
        <v>216</v>
      </c>
      <c r="O1" s="1" t="s">
        <v>9</v>
      </c>
      <c r="P1" s="1" t="s">
        <v>217</v>
      </c>
      <c r="Q1" s="1" t="s">
        <v>10</v>
      </c>
      <c r="R1" s="1" t="s">
        <v>11</v>
      </c>
      <c r="S1" s="1" t="s">
        <v>12</v>
      </c>
      <c r="T1" s="1" t="s">
        <v>218</v>
      </c>
      <c r="U1" s="1" t="s">
        <v>13</v>
      </c>
      <c r="V1" s="1" t="s">
        <v>219</v>
      </c>
      <c r="W1" s="1" t="s">
        <v>14</v>
      </c>
      <c r="X1" s="1" t="s">
        <v>220</v>
      </c>
      <c r="Y1" s="1" t="s">
        <v>15</v>
      </c>
      <c r="Z1" s="1" t="s">
        <v>221</v>
      </c>
      <c r="AA1" s="1" t="s">
        <v>16</v>
      </c>
      <c r="AB1" s="1" t="s">
        <v>17</v>
      </c>
      <c r="AC1" s="1" t="s">
        <v>18</v>
      </c>
    </row>
    <row r="2" spans="1:29" x14ac:dyDescent="0.2">
      <c r="A2">
        <v>65</v>
      </c>
      <c r="B2" t="s">
        <v>19</v>
      </c>
      <c r="C2">
        <v>32</v>
      </c>
      <c r="D2">
        <v>1620</v>
      </c>
      <c r="E2">
        <v>3</v>
      </c>
      <c r="F2" s="2">
        <f>E2/D2*90</f>
        <v>0.16666666666666669</v>
      </c>
      <c r="G2" s="2">
        <v>2.5709828101098542</v>
      </c>
      <c r="H2" s="2">
        <f>G2/D2*90</f>
        <v>0.14283237833943635</v>
      </c>
      <c r="I2">
        <v>1</v>
      </c>
      <c r="J2" s="2">
        <f>I2/D2*90</f>
        <v>5.5555555555555552E-2</v>
      </c>
      <c r="K2" s="2">
        <v>1.52100520581007</v>
      </c>
      <c r="L2" s="2">
        <f>K2/D2*90</f>
        <v>8.4500289211670562E-2</v>
      </c>
      <c r="M2">
        <v>30</v>
      </c>
      <c r="N2" s="2">
        <f>M2/D2*90</f>
        <v>1.6666666666666665</v>
      </c>
      <c r="O2">
        <v>15</v>
      </c>
      <c r="P2" s="2">
        <f>O2/D2*90</f>
        <v>0.83333333333333326</v>
      </c>
      <c r="Q2" t="s">
        <v>222</v>
      </c>
      <c r="R2" t="s">
        <v>20</v>
      </c>
      <c r="S2">
        <v>3</v>
      </c>
      <c r="T2" s="2">
        <f>S2/D2*90</f>
        <v>0.16666666666666669</v>
      </c>
      <c r="U2" s="2">
        <v>2.5709828101098542</v>
      </c>
      <c r="V2" s="2">
        <f>U2/D2*90</f>
        <v>0.14283237833943635</v>
      </c>
      <c r="W2" s="2">
        <v>5.0997851639986038</v>
      </c>
      <c r="X2" s="2">
        <f>W2/D2*90</f>
        <v>0.28332139799992245</v>
      </c>
      <c r="Y2" s="2">
        <v>1.5179485743865371</v>
      </c>
      <c r="Z2" s="2">
        <f>Y2/D2*90</f>
        <v>8.4330476354807615E-2</v>
      </c>
      <c r="AA2">
        <v>2014</v>
      </c>
      <c r="AB2">
        <v>0</v>
      </c>
      <c r="AC2">
        <v>8000000</v>
      </c>
    </row>
    <row r="3" spans="1:29" x14ac:dyDescent="0.2">
      <c r="A3">
        <v>65</v>
      </c>
      <c r="B3" t="s">
        <v>19</v>
      </c>
      <c r="C3">
        <v>33</v>
      </c>
      <c r="D3">
        <v>2201</v>
      </c>
      <c r="E3">
        <v>6</v>
      </c>
      <c r="F3" s="2">
        <f t="shared" ref="F3:F66" si="0">E3/D3*90</f>
        <v>0.24534302589731941</v>
      </c>
      <c r="G3" s="2">
        <v>12.027152398601171</v>
      </c>
      <c r="H3" s="2">
        <f t="shared" ref="H3:H66" si="1">G3/D3*90</f>
        <v>0.49179632706683568</v>
      </c>
      <c r="I3">
        <v>3</v>
      </c>
      <c r="J3" s="2">
        <f t="shared" ref="J3:J66" si="2">I3/D3*90</f>
        <v>0.1226715129486597</v>
      </c>
      <c r="K3" s="2">
        <v>2.956779925152659</v>
      </c>
      <c r="L3" s="2">
        <f t="shared" ref="L3:L66" si="3">K3/D3*90</f>
        <v>0.12090422229156716</v>
      </c>
      <c r="M3">
        <v>64</v>
      </c>
      <c r="N3" s="2">
        <f t="shared" ref="N3:N66" si="4">M3/D3*90</f>
        <v>2.6169922762380735</v>
      </c>
      <c r="O3">
        <v>21</v>
      </c>
      <c r="P3" s="2">
        <f t="shared" ref="P3:P66" si="5">O3/D3*90</f>
        <v>0.85870059064061788</v>
      </c>
      <c r="Q3" t="s">
        <v>222</v>
      </c>
      <c r="R3" t="s">
        <v>20</v>
      </c>
      <c r="S3">
        <v>6</v>
      </c>
      <c r="T3" s="2">
        <f t="shared" ref="T3:T66" si="6">S3/D3*90</f>
        <v>0.24534302589731941</v>
      </c>
      <c r="U3" s="2">
        <v>12.027152398601199</v>
      </c>
      <c r="V3" s="2">
        <f t="shared" ref="V3:V66" si="7">U3/D3*90</f>
        <v>0.49179632706683685</v>
      </c>
      <c r="W3" s="2">
        <v>16.174701225012541</v>
      </c>
      <c r="X3" s="2">
        <f t="shared" ref="X3:X66" si="8">W3/D3*90</f>
        <v>0.6613916902549426</v>
      </c>
      <c r="Y3" s="2">
        <v>2.860231284052134</v>
      </c>
      <c r="Z3" s="2">
        <f t="shared" ref="Z3:Z66" si="9">Y3/D3*90</f>
        <v>0.11695629966592097</v>
      </c>
      <c r="AA3">
        <v>2015</v>
      </c>
      <c r="AB3">
        <v>0</v>
      </c>
      <c r="AC3">
        <v>8000000</v>
      </c>
    </row>
    <row r="4" spans="1:29" x14ac:dyDescent="0.2">
      <c r="A4">
        <v>65</v>
      </c>
      <c r="B4" t="s">
        <v>19</v>
      </c>
      <c r="C4">
        <v>31</v>
      </c>
      <c r="D4">
        <v>2450</v>
      </c>
      <c r="E4">
        <v>21</v>
      </c>
      <c r="F4" s="2">
        <f t="shared" si="0"/>
        <v>0.77142857142857146</v>
      </c>
      <c r="G4" s="2">
        <v>14.531015504151579</v>
      </c>
      <c r="H4" s="2">
        <f t="shared" si="1"/>
        <v>0.53379240627495594</v>
      </c>
      <c r="I4">
        <v>5</v>
      </c>
      <c r="J4" s="2">
        <f t="shared" si="2"/>
        <v>0.18367346938775511</v>
      </c>
      <c r="K4" s="2">
        <v>3.463492389768362</v>
      </c>
      <c r="L4" s="2">
        <f t="shared" si="3"/>
        <v>0.1272303326853684</v>
      </c>
      <c r="M4">
        <v>74</v>
      </c>
      <c r="N4" s="2">
        <f t="shared" si="4"/>
        <v>2.7183673469387757</v>
      </c>
      <c r="O4">
        <v>31</v>
      </c>
      <c r="P4" s="2">
        <f t="shared" si="5"/>
        <v>1.1387755102040817</v>
      </c>
      <c r="Q4" t="s">
        <v>222</v>
      </c>
      <c r="R4" t="s">
        <v>21</v>
      </c>
      <c r="S4">
        <v>19</v>
      </c>
      <c r="T4" s="2">
        <f t="shared" si="6"/>
        <v>0.69795918367346943</v>
      </c>
      <c r="U4" s="2">
        <v>13.01546153798699</v>
      </c>
      <c r="V4" s="2">
        <f t="shared" si="7"/>
        <v>0.47811899527299145</v>
      </c>
      <c r="W4" s="2">
        <v>18.19453131780028</v>
      </c>
      <c r="X4" s="2">
        <f t="shared" si="8"/>
        <v>0.66837053820490822</v>
      </c>
      <c r="Y4" s="2">
        <v>4.1276027783751488</v>
      </c>
      <c r="Z4" s="2">
        <f t="shared" si="9"/>
        <v>0.15162622451174015</v>
      </c>
      <c r="AA4">
        <v>2016</v>
      </c>
      <c r="AB4">
        <v>1</v>
      </c>
      <c r="AC4">
        <v>25000000</v>
      </c>
    </row>
    <row r="5" spans="1:29" x14ac:dyDescent="0.2">
      <c r="A5">
        <v>65</v>
      </c>
      <c r="B5" t="s">
        <v>19</v>
      </c>
      <c r="C5">
        <v>32</v>
      </c>
      <c r="D5">
        <v>2497</v>
      </c>
      <c r="E5">
        <v>13</v>
      </c>
      <c r="F5" s="2">
        <f t="shared" si="0"/>
        <v>0.46856227472967565</v>
      </c>
      <c r="G5" s="2">
        <v>13.574379600584511</v>
      </c>
      <c r="H5" s="2">
        <f t="shared" si="1"/>
        <v>0.48926478336107571</v>
      </c>
      <c r="I5">
        <v>7</v>
      </c>
      <c r="J5" s="2">
        <f t="shared" si="2"/>
        <v>0.25230276331597917</v>
      </c>
      <c r="K5" s="2">
        <v>4.5311982054263353</v>
      </c>
      <c r="L5" s="2">
        <f t="shared" si="3"/>
        <v>0.16331911833735288</v>
      </c>
      <c r="M5">
        <v>95</v>
      </c>
      <c r="N5" s="2">
        <f t="shared" si="4"/>
        <v>3.4241089307168604</v>
      </c>
      <c r="O5">
        <v>24</v>
      </c>
      <c r="P5" s="2">
        <f t="shared" si="5"/>
        <v>0.8650380456547857</v>
      </c>
      <c r="Q5" t="s">
        <v>222</v>
      </c>
      <c r="R5" t="s">
        <v>21</v>
      </c>
      <c r="S5">
        <v>11</v>
      </c>
      <c r="T5" s="2">
        <f t="shared" si="6"/>
        <v>0.39647577092511016</v>
      </c>
      <c r="U5" s="2">
        <v>12.05882663279772</v>
      </c>
      <c r="V5" s="2">
        <f t="shared" si="7"/>
        <v>0.43463932597188415</v>
      </c>
      <c r="W5" s="2">
        <v>16.800834264606241</v>
      </c>
      <c r="X5" s="2">
        <f t="shared" si="8"/>
        <v>0.60555670156770591</v>
      </c>
      <c r="Y5" s="2">
        <v>2.6707776859402661</v>
      </c>
      <c r="Z5" s="2">
        <f t="shared" si="9"/>
        <v>9.6263512909340779E-2</v>
      </c>
      <c r="AA5">
        <v>2017</v>
      </c>
      <c r="AB5">
        <v>1</v>
      </c>
      <c r="AC5">
        <v>60000000</v>
      </c>
    </row>
    <row r="6" spans="1:29" x14ac:dyDescent="0.2">
      <c r="A6">
        <v>69</v>
      </c>
      <c r="B6" t="s">
        <v>22</v>
      </c>
      <c r="C6">
        <v>11</v>
      </c>
      <c r="D6">
        <v>894</v>
      </c>
      <c r="E6">
        <v>0</v>
      </c>
      <c r="F6" s="2">
        <f t="shared" si="0"/>
        <v>0</v>
      </c>
      <c r="G6" s="2">
        <v>0.15848050359636551</v>
      </c>
      <c r="H6" s="2">
        <f t="shared" si="1"/>
        <v>1.5954413113728069E-2</v>
      </c>
      <c r="I6">
        <v>1</v>
      </c>
      <c r="J6" s="2">
        <f t="shared" si="2"/>
        <v>0.10067114093959731</v>
      </c>
      <c r="K6" s="2">
        <v>0.17376580275595191</v>
      </c>
      <c r="L6" s="2">
        <f t="shared" si="3"/>
        <v>1.74932016197267E-2</v>
      </c>
      <c r="M6">
        <v>6</v>
      </c>
      <c r="N6" s="2">
        <f t="shared" si="4"/>
        <v>0.60402684563758391</v>
      </c>
      <c r="O6">
        <v>3</v>
      </c>
      <c r="P6" s="2">
        <f t="shared" si="5"/>
        <v>0.30201342281879195</v>
      </c>
      <c r="Q6" t="s">
        <v>223</v>
      </c>
      <c r="R6" t="s">
        <v>23</v>
      </c>
      <c r="S6">
        <v>0</v>
      </c>
      <c r="T6" s="2">
        <f t="shared" si="6"/>
        <v>0</v>
      </c>
      <c r="U6" s="2">
        <v>0.15848050359636551</v>
      </c>
      <c r="V6" s="2">
        <f t="shared" si="7"/>
        <v>1.5954413113728069E-2</v>
      </c>
      <c r="W6" s="2">
        <v>1.9444967247545719</v>
      </c>
      <c r="X6" s="2">
        <f t="shared" si="8"/>
        <v>0.19575470383435287</v>
      </c>
      <c r="Y6" s="2">
        <v>1.6648532152175901</v>
      </c>
      <c r="Z6" s="2">
        <f t="shared" si="9"/>
        <v>0.16760267267291173</v>
      </c>
      <c r="AA6">
        <v>2019</v>
      </c>
      <c r="AB6">
        <v>0</v>
      </c>
      <c r="AC6">
        <v>3000000</v>
      </c>
    </row>
    <row r="7" spans="1:29" x14ac:dyDescent="0.2">
      <c r="A7">
        <v>69</v>
      </c>
      <c r="B7" t="s">
        <v>22</v>
      </c>
      <c r="C7">
        <v>28</v>
      </c>
      <c r="D7">
        <v>2111</v>
      </c>
      <c r="E7">
        <v>0</v>
      </c>
      <c r="F7" s="2">
        <f t="shared" si="0"/>
        <v>0</v>
      </c>
      <c r="G7" s="2">
        <v>0.35275890305638308</v>
      </c>
      <c r="H7" s="2">
        <f t="shared" si="1"/>
        <v>1.5039460575591888E-2</v>
      </c>
      <c r="I7">
        <v>0</v>
      </c>
      <c r="J7" s="2">
        <f t="shared" si="2"/>
        <v>0</v>
      </c>
      <c r="K7" s="2">
        <v>0.37207271624356508</v>
      </c>
      <c r="L7" s="2">
        <f t="shared" si="3"/>
        <v>1.5862882265239627E-2</v>
      </c>
      <c r="M7">
        <v>16</v>
      </c>
      <c r="N7" s="2">
        <f t="shared" si="4"/>
        <v>0.68214116532449076</v>
      </c>
      <c r="O7">
        <v>7</v>
      </c>
      <c r="P7" s="2">
        <f t="shared" si="5"/>
        <v>0.29843675982946472</v>
      </c>
      <c r="Q7" t="s">
        <v>223</v>
      </c>
      <c r="R7" t="s">
        <v>23</v>
      </c>
      <c r="S7">
        <v>0</v>
      </c>
      <c r="T7" s="2">
        <f t="shared" si="6"/>
        <v>0</v>
      </c>
      <c r="U7" s="2">
        <v>0.35275890305638308</v>
      </c>
      <c r="V7" s="2">
        <f t="shared" si="7"/>
        <v>1.5039460575591888E-2</v>
      </c>
      <c r="W7" s="2">
        <v>4.3978654593229294</v>
      </c>
      <c r="X7" s="2">
        <f t="shared" si="8"/>
        <v>0.18749781683517935</v>
      </c>
      <c r="Y7" s="2">
        <v>3.7521780375391249</v>
      </c>
      <c r="Z7" s="2">
        <f t="shared" si="9"/>
        <v>0.15996969368949371</v>
      </c>
      <c r="AA7">
        <v>2020</v>
      </c>
      <c r="AB7">
        <v>0</v>
      </c>
      <c r="AC7">
        <v>5000000</v>
      </c>
    </row>
    <row r="8" spans="1:29" x14ac:dyDescent="0.2">
      <c r="A8">
        <v>69</v>
      </c>
      <c r="B8" t="s">
        <v>22</v>
      </c>
      <c r="C8">
        <v>17</v>
      </c>
      <c r="D8">
        <v>967</v>
      </c>
      <c r="E8">
        <v>0</v>
      </c>
      <c r="F8" s="2">
        <f t="shared" si="0"/>
        <v>0</v>
      </c>
      <c r="G8" s="2">
        <v>0.37219799123704428</v>
      </c>
      <c r="H8" s="2">
        <f t="shared" si="1"/>
        <v>3.464097126301343E-2</v>
      </c>
      <c r="I8">
        <v>0</v>
      </c>
      <c r="J8" s="2">
        <f t="shared" si="2"/>
        <v>0</v>
      </c>
      <c r="K8" s="2">
        <v>9.1977401636540876E-2</v>
      </c>
      <c r="L8" s="2">
        <f t="shared" si="3"/>
        <v>8.5604613725839499E-3</v>
      </c>
      <c r="M8">
        <v>10</v>
      </c>
      <c r="N8" s="2">
        <f t="shared" si="4"/>
        <v>0.93071354705274045</v>
      </c>
      <c r="O8">
        <v>4</v>
      </c>
      <c r="P8" s="2">
        <f t="shared" si="5"/>
        <v>0.37228541882109623</v>
      </c>
      <c r="Q8" t="s">
        <v>223</v>
      </c>
      <c r="R8" t="s">
        <v>23</v>
      </c>
      <c r="S8">
        <v>0</v>
      </c>
      <c r="T8" s="2">
        <f t="shared" si="6"/>
        <v>0</v>
      </c>
      <c r="U8" s="2">
        <v>0.37219799123704428</v>
      </c>
      <c r="V8" s="2">
        <f t="shared" si="7"/>
        <v>3.464097126301343E-2</v>
      </c>
      <c r="W8" s="2">
        <v>1.931317497976125</v>
      </c>
      <c r="X8" s="2">
        <f t="shared" si="8"/>
        <v>0.17975033590263834</v>
      </c>
      <c r="Y8" s="2">
        <v>1.560119098983705</v>
      </c>
      <c r="Z8" s="2">
        <f t="shared" si="9"/>
        <v>0.14520239804398496</v>
      </c>
      <c r="AA8">
        <v>2021</v>
      </c>
      <c r="AB8">
        <v>1</v>
      </c>
      <c r="AC8">
        <v>3200000</v>
      </c>
    </row>
    <row r="9" spans="1:29" x14ac:dyDescent="0.2">
      <c r="A9">
        <v>69</v>
      </c>
      <c r="B9" t="s">
        <v>22</v>
      </c>
      <c r="C9">
        <v>13</v>
      </c>
      <c r="D9">
        <v>967</v>
      </c>
      <c r="E9">
        <v>0</v>
      </c>
      <c r="F9" s="2">
        <f t="shared" si="0"/>
        <v>0</v>
      </c>
      <c r="G9" s="2">
        <v>2.6374599896371361E-2</v>
      </c>
      <c r="H9" s="2">
        <f t="shared" si="1"/>
        <v>2.4547197421648627E-3</v>
      </c>
      <c r="I9">
        <v>0</v>
      </c>
      <c r="J9" s="2">
        <f t="shared" si="2"/>
        <v>0</v>
      </c>
      <c r="K9" s="2">
        <v>0.2204422019422054</v>
      </c>
      <c r="L9" s="2">
        <f t="shared" si="3"/>
        <v>2.051685436897465E-2</v>
      </c>
      <c r="M9">
        <v>2</v>
      </c>
      <c r="N9" s="2">
        <f t="shared" si="4"/>
        <v>0.18614270941054811</v>
      </c>
      <c r="O9">
        <v>6</v>
      </c>
      <c r="P9" s="2">
        <f t="shared" si="5"/>
        <v>0.55842812823164423</v>
      </c>
      <c r="Q9" t="s">
        <v>223</v>
      </c>
      <c r="R9" t="s">
        <v>23</v>
      </c>
      <c r="S9">
        <v>0</v>
      </c>
      <c r="T9" s="2">
        <f t="shared" si="6"/>
        <v>0</v>
      </c>
      <c r="U9" s="2">
        <v>2.6374599896371361E-2</v>
      </c>
      <c r="V9" s="2">
        <f t="shared" si="7"/>
        <v>2.4547197421648627E-3</v>
      </c>
      <c r="W9" s="2">
        <v>1.5679318085312841</v>
      </c>
      <c r="X9" s="2">
        <f t="shared" si="8"/>
        <v>0.14592953750549698</v>
      </c>
      <c r="Y9" s="2">
        <v>1.3211149126291279</v>
      </c>
      <c r="Z9" s="2">
        <f t="shared" si="9"/>
        <v>0.12295795463973269</v>
      </c>
      <c r="AA9">
        <v>2022</v>
      </c>
      <c r="AB9">
        <v>1</v>
      </c>
      <c r="AC9">
        <v>3000000</v>
      </c>
    </row>
    <row r="10" spans="1:29" x14ac:dyDescent="0.2">
      <c r="A10">
        <v>148</v>
      </c>
      <c r="B10" t="s">
        <v>24</v>
      </c>
      <c r="C10">
        <v>33</v>
      </c>
      <c r="D10">
        <v>2919</v>
      </c>
      <c r="E10">
        <v>1</v>
      </c>
      <c r="F10" s="2">
        <f t="shared" si="0"/>
        <v>3.0832476875642344E-2</v>
      </c>
      <c r="G10" s="2">
        <v>1.7163430973887439</v>
      </c>
      <c r="H10" s="2">
        <f t="shared" si="1"/>
        <v>5.2919108860906797E-2</v>
      </c>
      <c r="I10">
        <v>0</v>
      </c>
      <c r="J10" s="2">
        <f t="shared" si="2"/>
        <v>0</v>
      </c>
      <c r="K10" s="2">
        <v>0.51847509667277336</v>
      </c>
      <c r="L10" s="2">
        <f t="shared" si="3"/>
        <v>1.5985871428759714E-2</v>
      </c>
      <c r="M10">
        <v>21</v>
      </c>
      <c r="N10" s="2">
        <f t="shared" si="4"/>
        <v>0.64748201438848929</v>
      </c>
      <c r="O10">
        <v>6</v>
      </c>
      <c r="P10" s="2">
        <f t="shared" si="5"/>
        <v>0.18499486125385406</v>
      </c>
      <c r="Q10" t="s">
        <v>224</v>
      </c>
      <c r="R10" t="s">
        <v>25</v>
      </c>
      <c r="S10">
        <v>1</v>
      </c>
      <c r="T10" s="2">
        <f t="shared" si="6"/>
        <v>3.0832476875642344E-2</v>
      </c>
      <c r="U10" s="2">
        <v>1.7163430973887439</v>
      </c>
      <c r="V10" s="2">
        <f t="shared" si="7"/>
        <v>5.2919108860906797E-2</v>
      </c>
      <c r="W10" s="2">
        <v>6.4014100907370448</v>
      </c>
      <c r="X10" s="2">
        <f t="shared" si="8"/>
        <v>0.19737132859415349</v>
      </c>
      <c r="Y10" s="2">
        <v>6.0896930573508143</v>
      </c>
      <c r="Z10" s="2">
        <f t="shared" si="9"/>
        <v>0.18776032037052873</v>
      </c>
      <c r="AA10">
        <v>2017</v>
      </c>
      <c r="AB10">
        <v>0</v>
      </c>
      <c r="AC10">
        <v>1500000</v>
      </c>
    </row>
    <row r="11" spans="1:29" x14ac:dyDescent="0.2">
      <c r="A11">
        <v>148</v>
      </c>
      <c r="B11" t="s">
        <v>24</v>
      </c>
      <c r="C11">
        <v>36</v>
      </c>
      <c r="D11">
        <v>3228</v>
      </c>
      <c r="E11">
        <v>1</v>
      </c>
      <c r="F11" s="2">
        <f t="shared" si="0"/>
        <v>2.7881040892193308E-2</v>
      </c>
      <c r="G11" s="2">
        <v>1.243329396471381</v>
      </c>
      <c r="H11" s="2">
        <f t="shared" si="1"/>
        <v>3.4665317745484599E-2</v>
      </c>
      <c r="I11">
        <v>1</v>
      </c>
      <c r="J11" s="2">
        <f t="shared" si="2"/>
        <v>2.7881040892193308E-2</v>
      </c>
      <c r="K11" s="2">
        <v>0.188347203657031</v>
      </c>
      <c r="L11" s="2">
        <f t="shared" si="3"/>
        <v>5.2513160870919428E-3</v>
      </c>
      <c r="M11">
        <v>19</v>
      </c>
      <c r="N11" s="2">
        <f t="shared" si="4"/>
        <v>0.52973977695167285</v>
      </c>
      <c r="O11">
        <v>6</v>
      </c>
      <c r="P11" s="2">
        <f t="shared" si="5"/>
        <v>0.16728624535315983</v>
      </c>
      <c r="Q11" t="s">
        <v>224</v>
      </c>
      <c r="R11" t="s">
        <v>25</v>
      </c>
      <c r="S11">
        <v>1</v>
      </c>
      <c r="T11" s="2">
        <f t="shared" si="6"/>
        <v>2.7881040892193308E-2</v>
      </c>
      <c r="U11" s="2">
        <v>1.243329396471381</v>
      </c>
      <c r="V11" s="2">
        <f t="shared" si="7"/>
        <v>3.4665317745484599E-2</v>
      </c>
      <c r="W11" s="2">
        <v>8.9047303404659033</v>
      </c>
      <c r="X11" s="2">
        <f t="shared" si="8"/>
        <v>0.24827315075648429</v>
      </c>
      <c r="Y11" s="2">
        <v>8.8268511462956667</v>
      </c>
      <c r="Z11" s="2">
        <f t="shared" si="9"/>
        <v>0.24610179775917287</v>
      </c>
      <c r="AA11">
        <v>2018</v>
      </c>
      <c r="AB11">
        <v>0</v>
      </c>
      <c r="AC11">
        <v>1500000</v>
      </c>
    </row>
    <row r="12" spans="1:29" x14ac:dyDescent="0.2">
      <c r="A12">
        <v>148</v>
      </c>
      <c r="B12" t="s">
        <v>24</v>
      </c>
      <c r="C12">
        <v>21</v>
      </c>
      <c r="D12">
        <v>1890</v>
      </c>
      <c r="E12">
        <v>1</v>
      </c>
      <c r="F12" s="2">
        <f t="shared" si="0"/>
        <v>4.7619047619047623E-2</v>
      </c>
      <c r="G12" s="2">
        <v>1.554059399291873</v>
      </c>
      <c r="H12" s="2">
        <f t="shared" si="1"/>
        <v>7.4002828537708232E-2</v>
      </c>
      <c r="I12">
        <v>0</v>
      </c>
      <c r="J12" s="2">
        <f t="shared" si="2"/>
        <v>0</v>
      </c>
      <c r="K12" s="2">
        <v>0.1507515022531152</v>
      </c>
      <c r="L12" s="2">
        <f t="shared" si="3"/>
        <v>7.1786429644340576E-3</v>
      </c>
      <c r="M12">
        <v>18</v>
      </c>
      <c r="N12" s="2">
        <f t="shared" si="4"/>
        <v>0.85714285714285721</v>
      </c>
      <c r="O12">
        <v>7</v>
      </c>
      <c r="P12" s="2">
        <f t="shared" si="5"/>
        <v>0.33333333333333337</v>
      </c>
      <c r="Q12" t="s">
        <v>224</v>
      </c>
      <c r="R12" t="s">
        <v>25</v>
      </c>
      <c r="S12">
        <v>1</v>
      </c>
      <c r="T12" s="2">
        <f t="shared" si="6"/>
        <v>4.7619047619047623E-2</v>
      </c>
      <c r="U12" s="2">
        <v>1.554059399291873</v>
      </c>
      <c r="V12" s="2">
        <f t="shared" si="7"/>
        <v>7.4002828537708232E-2</v>
      </c>
      <c r="W12" s="2">
        <v>5.4589515142142773</v>
      </c>
      <c r="X12" s="2">
        <f t="shared" si="8"/>
        <v>0.2599500721054418</v>
      </c>
      <c r="Y12" s="2">
        <v>5.4107079021632671</v>
      </c>
      <c r="Z12" s="2">
        <f t="shared" si="9"/>
        <v>0.25765275724586989</v>
      </c>
      <c r="AA12">
        <v>2019</v>
      </c>
      <c r="AB12">
        <v>1</v>
      </c>
      <c r="AC12">
        <v>800000</v>
      </c>
    </row>
    <row r="13" spans="1:29" x14ac:dyDescent="0.2">
      <c r="A13">
        <v>148</v>
      </c>
      <c r="B13" t="s">
        <v>24</v>
      </c>
      <c r="C13">
        <v>9</v>
      </c>
      <c r="D13">
        <v>778</v>
      </c>
      <c r="E13">
        <v>2</v>
      </c>
      <c r="F13" s="2">
        <f t="shared" si="0"/>
        <v>0.23136246786632389</v>
      </c>
      <c r="G13" s="2">
        <v>0.90587648749351501</v>
      </c>
      <c r="H13" s="2">
        <f t="shared" si="1"/>
        <v>0.10479290986428837</v>
      </c>
      <c r="I13">
        <v>1</v>
      </c>
      <c r="J13" s="2">
        <f t="shared" si="2"/>
        <v>0.11568123393316194</v>
      </c>
      <c r="K13" s="2">
        <v>0.41004779003560538</v>
      </c>
      <c r="L13" s="2">
        <f t="shared" si="3"/>
        <v>4.7434834322884936E-2</v>
      </c>
      <c r="M13">
        <v>7</v>
      </c>
      <c r="N13" s="2">
        <f t="shared" si="4"/>
        <v>0.80976863753213368</v>
      </c>
      <c r="O13">
        <v>2</v>
      </c>
      <c r="P13" s="2">
        <f t="shared" si="5"/>
        <v>0.23136246786632389</v>
      </c>
      <c r="Q13" t="s">
        <v>224</v>
      </c>
      <c r="R13" t="s">
        <v>25</v>
      </c>
      <c r="S13">
        <v>2</v>
      </c>
      <c r="T13" s="2">
        <f t="shared" si="6"/>
        <v>0.23136246786632389</v>
      </c>
      <c r="U13" s="2">
        <v>0.90587648749351501</v>
      </c>
      <c r="V13" s="2">
        <f t="shared" si="7"/>
        <v>0.10479290986428837</v>
      </c>
      <c r="W13" s="2">
        <v>1.814327391795814</v>
      </c>
      <c r="X13" s="2">
        <f t="shared" si="8"/>
        <v>0.20988363144167513</v>
      </c>
      <c r="Y13" s="2">
        <v>1.7864134041592481</v>
      </c>
      <c r="Z13" s="2">
        <f t="shared" si="9"/>
        <v>0.20665450690788217</v>
      </c>
      <c r="AA13">
        <v>2020</v>
      </c>
      <c r="AB13">
        <v>1</v>
      </c>
      <c r="AC13">
        <v>1000000</v>
      </c>
    </row>
    <row r="14" spans="1:29" x14ac:dyDescent="0.2">
      <c r="A14">
        <v>204</v>
      </c>
      <c r="B14" t="s">
        <v>26</v>
      </c>
      <c r="C14">
        <v>28</v>
      </c>
      <c r="D14">
        <v>2368</v>
      </c>
      <c r="E14">
        <v>3</v>
      </c>
      <c r="F14" s="2">
        <f t="shared" si="0"/>
        <v>0.11402027027027027</v>
      </c>
      <c r="G14" s="2">
        <v>2.45439872937277</v>
      </c>
      <c r="H14" s="2">
        <f t="shared" si="1"/>
        <v>9.3283735491363734E-2</v>
      </c>
      <c r="I14">
        <v>1</v>
      </c>
      <c r="J14" s="2">
        <f t="shared" si="2"/>
        <v>3.8006756756756757E-2</v>
      </c>
      <c r="K14" s="2">
        <v>2.338059326633811</v>
      </c>
      <c r="L14" s="2">
        <f t="shared" si="3"/>
        <v>8.886205211023776E-2</v>
      </c>
      <c r="M14">
        <v>33</v>
      </c>
      <c r="N14" s="2">
        <f t="shared" si="4"/>
        <v>1.254222972972973</v>
      </c>
      <c r="O14">
        <v>22</v>
      </c>
      <c r="P14" s="2">
        <f t="shared" si="5"/>
        <v>0.83614864864864868</v>
      </c>
      <c r="Q14" t="s">
        <v>223</v>
      </c>
      <c r="R14" t="s">
        <v>27</v>
      </c>
      <c r="S14">
        <v>2</v>
      </c>
      <c r="T14" s="2">
        <f t="shared" si="6"/>
        <v>7.6013513513513514E-2</v>
      </c>
      <c r="U14" s="2">
        <v>1.6966217537410559</v>
      </c>
      <c r="V14" s="2">
        <f t="shared" si="7"/>
        <v>6.4483090302658377E-2</v>
      </c>
      <c r="W14" s="2">
        <v>12.88910828903318</v>
      </c>
      <c r="X14" s="2">
        <f t="shared" si="8"/>
        <v>0.4898732035527813</v>
      </c>
      <c r="Y14" s="2">
        <v>11.43142470903695</v>
      </c>
      <c r="Z14" s="2">
        <f t="shared" si="9"/>
        <v>0.43447137829954624</v>
      </c>
      <c r="AA14">
        <v>2015</v>
      </c>
      <c r="AB14">
        <v>0</v>
      </c>
      <c r="AC14">
        <v>35000000</v>
      </c>
    </row>
    <row r="15" spans="1:29" x14ac:dyDescent="0.2">
      <c r="A15">
        <v>204</v>
      </c>
      <c r="B15" t="s">
        <v>26</v>
      </c>
      <c r="C15">
        <v>32</v>
      </c>
      <c r="D15">
        <v>2492</v>
      </c>
      <c r="E15">
        <v>2</v>
      </c>
      <c r="F15" s="2">
        <f t="shared" si="0"/>
        <v>7.2231139646869988E-2</v>
      </c>
      <c r="G15" s="2">
        <v>0.90501860156655323</v>
      </c>
      <c r="H15" s="2">
        <f t="shared" si="1"/>
        <v>3.268526249638435E-2</v>
      </c>
      <c r="I15">
        <v>2</v>
      </c>
      <c r="J15" s="2">
        <f t="shared" si="2"/>
        <v>7.2231139646869988E-2</v>
      </c>
      <c r="K15" s="2">
        <v>2.1153096873313189</v>
      </c>
      <c r="L15" s="2">
        <f t="shared" si="3"/>
        <v>7.6395614711002688E-2</v>
      </c>
      <c r="M15">
        <v>34</v>
      </c>
      <c r="N15" s="2">
        <f t="shared" si="4"/>
        <v>1.2279293739967898</v>
      </c>
      <c r="O15">
        <v>35</v>
      </c>
      <c r="P15" s="2">
        <f t="shared" si="5"/>
        <v>1.2640449438202246</v>
      </c>
      <c r="Q15" t="s">
        <v>223</v>
      </c>
      <c r="R15" t="s">
        <v>28</v>
      </c>
      <c r="S15">
        <v>2</v>
      </c>
      <c r="T15" s="2">
        <f t="shared" si="6"/>
        <v>7.2231139646869988E-2</v>
      </c>
      <c r="U15" s="2">
        <v>0.90501860156655323</v>
      </c>
      <c r="V15" s="2">
        <f t="shared" si="7"/>
        <v>3.268526249638435E-2</v>
      </c>
      <c r="W15" s="2">
        <v>13.46946939639747</v>
      </c>
      <c r="X15" s="2">
        <f t="shared" si="8"/>
        <v>0.4864575624702136</v>
      </c>
      <c r="Y15" s="2">
        <v>12.100475447252389</v>
      </c>
      <c r="Z15" s="2">
        <f t="shared" si="9"/>
        <v>0.43701556591200447</v>
      </c>
      <c r="AA15">
        <v>2016</v>
      </c>
      <c r="AB15">
        <v>0</v>
      </c>
      <c r="AC15">
        <v>35000000</v>
      </c>
    </row>
    <row r="16" spans="1:29" x14ac:dyDescent="0.2">
      <c r="A16">
        <v>204</v>
      </c>
      <c r="B16" t="s">
        <v>26</v>
      </c>
      <c r="C16">
        <v>38</v>
      </c>
      <c r="D16">
        <v>3274</v>
      </c>
      <c r="E16">
        <v>1</v>
      </c>
      <c r="F16" s="2">
        <f t="shared" si="0"/>
        <v>2.7489309712889431E-2</v>
      </c>
      <c r="G16" s="2">
        <v>2.1774980118498211</v>
      </c>
      <c r="H16" s="2">
        <f t="shared" si="1"/>
        <v>5.9857917246940714E-2</v>
      </c>
      <c r="I16">
        <v>7</v>
      </c>
      <c r="J16" s="2">
        <f t="shared" si="2"/>
        <v>0.19242516799022602</v>
      </c>
      <c r="K16" s="2">
        <v>2.8609325354918842</v>
      </c>
      <c r="L16" s="2">
        <f t="shared" si="3"/>
        <v>7.8645060535818434E-2</v>
      </c>
      <c r="M16">
        <v>66</v>
      </c>
      <c r="N16" s="2">
        <f t="shared" si="4"/>
        <v>1.8142944410507027</v>
      </c>
      <c r="O16">
        <v>39</v>
      </c>
      <c r="P16" s="2">
        <f t="shared" si="5"/>
        <v>1.0720830788026878</v>
      </c>
      <c r="Q16" t="s">
        <v>223</v>
      </c>
      <c r="R16" t="s">
        <v>28</v>
      </c>
      <c r="S16">
        <v>1</v>
      </c>
      <c r="T16" s="2">
        <f t="shared" si="6"/>
        <v>2.7489309712889431E-2</v>
      </c>
      <c r="U16" s="2">
        <v>2.1774980118498211</v>
      </c>
      <c r="V16" s="2">
        <f t="shared" si="7"/>
        <v>5.9857917246940714E-2</v>
      </c>
      <c r="W16" s="2">
        <v>24.630710953846581</v>
      </c>
      <c r="X16" s="2">
        <f t="shared" si="8"/>
        <v>0.67708124185894691</v>
      </c>
      <c r="Y16" s="2">
        <v>22.75941666867584</v>
      </c>
      <c r="Z16" s="2">
        <f t="shared" si="9"/>
        <v>0.62564065368992838</v>
      </c>
      <c r="AA16">
        <v>2017</v>
      </c>
      <c r="AB16">
        <v>1</v>
      </c>
      <c r="AC16">
        <v>40000000</v>
      </c>
    </row>
    <row r="17" spans="1:29" x14ac:dyDescent="0.2">
      <c r="A17">
        <v>204</v>
      </c>
      <c r="B17" t="s">
        <v>26</v>
      </c>
      <c r="C17">
        <v>29</v>
      </c>
      <c r="D17">
        <v>2511</v>
      </c>
      <c r="E17">
        <v>4</v>
      </c>
      <c r="F17" s="2">
        <f t="shared" si="0"/>
        <v>0.14336917562724014</v>
      </c>
      <c r="G17" s="2">
        <v>1.88113971799612</v>
      </c>
      <c r="H17" s="2">
        <f t="shared" si="1"/>
        <v>6.7424362652190678E-2</v>
      </c>
      <c r="I17">
        <v>2</v>
      </c>
      <c r="J17" s="2">
        <f t="shared" si="2"/>
        <v>7.1684587813620068E-2</v>
      </c>
      <c r="K17" s="2">
        <v>3.5157335419207811</v>
      </c>
      <c r="L17" s="2">
        <f t="shared" si="3"/>
        <v>0.12601195490755487</v>
      </c>
      <c r="M17">
        <v>29</v>
      </c>
      <c r="N17" s="2">
        <f t="shared" si="4"/>
        <v>1.0394265232974911</v>
      </c>
      <c r="O17">
        <v>40</v>
      </c>
      <c r="P17" s="2">
        <f t="shared" si="5"/>
        <v>1.4336917562724012</v>
      </c>
      <c r="Q17" t="s">
        <v>223</v>
      </c>
      <c r="R17" t="s">
        <v>28</v>
      </c>
      <c r="S17">
        <v>4</v>
      </c>
      <c r="T17" s="2">
        <f t="shared" si="6"/>
        <v>0.14336917562724014</v>
      </c>
      <c r="U17" s="2">
        <v>1.88113971799612</v>
      </c>
      <c r="V17" s="2">
        <f t="shared" si="7"/>
        <v>6.7424362652190678E-2</v>
      </c>
      <c r="W17" s="2">
        <v>15.24371136911213</v>
      </c>
      <c r="X17" s="2">
        <f t="shared" si="8"/>
        <v>0.54636958312229866</v>
      </c>
      <c r="Y17" s="2">
        <v>12.58072513341904</v>
      </c>
      <c r="Z17" s="2">
        <f t="shared" si="9"/>
        <v>0.45092204779279715</v>
      </c>
      <c r="AA17">
        <v>2018</v>
      </c>
      <c r="AB17">
        <v>1</v>
      </c>
      <c r="AC17">
        <v>45000000</v>
      </c>
    </row>
    <row r="18" spans="1:29" x14ac:dyDescent="0.2">
      <c r="A18">
        <v>229</v>
      </c>
      <c r="B18" t="s">
        <v>29</v>
      </c>
      <c r="C18">
        <v>24</v>
      </c>
      <c r="D18">
        <v>1773</v>
      </c>
      <c r="E18">
        <v>3</v>
      </c>
      <c r="F18" s="2">
        <f t="shared" si="0"/>
        <v>0.15228426395939085</v>
      </c>
      <c r="G18" s="2">
        <v>2.5828448515385389</v>
      </c>
      <c r="H18" s="2">
        <f t="shared" si="1"/>
        <v>0.13110887571261617</v>
      </c>
      <c r="I18">
        <v>0</v>
      </c>
      <c r="J18" s="2">
        <f t="shared" si="2"/>
        <v>0</v>
      </c>
      <c r="K18" s="2">
        <v>1.096949443221092</v>
      </c>
      <c r="L18" s="2">
        <f t="shared" si="3"/>
        <v>5.5682712853862538E-2</v>
      </c>
      <c r="M18">
        <v>18</v>
      </c>
      <c r="N18" s="2">
        <f t="shared" si="4"/>
        <v>0.91370558375634514</v>
      </c>
      <c r="O18">
        <v>20</v>
      </c>
      <c r="P18" s="2">
        <f t="shared" si="5"/>
        <v>1.015228426395939</v>
      </c>
      <c r="Q18" s="3" t="s">
        <v>223</v>
      </c>
      <c r="R18" t="s">
        <v>30</v>
      </c>
      <c r="S18">
        <v>3</v>
      </c>
      <c r="T18" s="2">
        <f t="shared" si="6"/>
        <v>0.15228426395939085</v>
      </c>
      <c r="U18" s="2">
        <v>2.5828448515385389</v>
      </c>
      <c r="V18" s="2">
        <f t="shared" si="7"/>
        <v>0.13110887571261617</v>
      </c>
      <c r="W18" s="2">
        <v>19.607252351939682</v>
      </c>
      <c r="X18" s="2">
        <f t="shared" si="8"/>
        <v>0.99529199756039</v>
      </c>
      <c r="Y18" s="2">
        <v>16.87201019376516</v>
      </c>
      <c r="Z18" s="2">
        <f t="shared" si="9"/>
        <v>0.85644721795762235</v>
      </c>
      <c r="AA18">
        <v>2019</v>
      </c>
      <c r="AB18">
        <v>0</v>
      </c>
      <c r="AC18">
        <v>48000000</v>
      </c>
    </row>
    <row r="19" spans="1:29" x14ac:dyDescent="0.2">
      <c r="A19">
        <v>229</v>
      </c>
      <c r="B19" t="s">
        <v>29</v>
      </c>
      <c r="C19">
        <v>24</v>
      </c>
      <c r="D19">
        <v>1865</v>
      </c>
      <c r="E19">
        <v>1</v>
      </c>
      <c r="F19" s="2">
        <f t="shared" si="0"/>
        <v>4.82573726541555E-2</v>
      </c>
      <c r="G19" s="2">
        <v>1.2113057915121319</v>
      </c>
      <c r="H19" s="2">
        <f t="shared" si="1"/>
        <v>5.8454434979137736E-2</v>
      </c>
      <c r="I19">
        <v>0</v>
      </c>
      <c r="J19" s="2">
        <f t="shared" si="2"/>
        <v>0</v>
      </c>
      <c r="K19" s="2">
        <v>2.5549221271648999</v>
      </c>
      <c r="L19" s="2">
        <f t="shared" si="3"/>
        <v>0.12329382919294422</v>
      </c>
      <c r="M19">
        <v>22</v>
      </c>
      <c r="N19" s="2">
        <f t="shared" si="4"/>
        <v>1.061662198391421</v>
      </c>
      <c r="O19">
        <v>30</v>
      </c>
      <c r="P19" s="2">
        <f t="shared" si="5"/>
        <v>1.447721179624665</v>
      </c>
      <c r="Q19" s="3" t="s">
        <v>223</v>
      </c>
      <c r="R19" t="s">
        <v>31</v>
      </c>
      <c r="S19">
        <v>1</v>
      </c>
      <c r="T19" s="2">
        <f t="shared" si="6"/>
        <v>4.82573726541555E-2</v>
      </c>
      <c r="U19" s="2">
        <v>1.2113057915121319</v>
      </c>
      <c r="V19" s="2">
        <f t="shared" si="7"/>
        <v>5.8454434979137736E-2</v>
      </c>
      <c r="W19" s="2">
        <v>11.15255158767104</v>
      </c>
      <c r="X19" s="2">
        <f t="shared" si="8"/>
        <v>0.53819283801093487</v>
      </c>
      <c r="Y19" s="2">
        <v>9.4682824797928316</v>
      </c>
      <c r="Z19" s="2">
        <f t="shared" si="9"/>
        <v>0.45691443602217413</v>
      </c>
      <c r="AA19">
        <v>2020</v>
      </c>
      <c r="AB19">
        <v>0</v>
      </c>
      <c r="AC19">
        <v>30000000</v>
      </c>
    </row>
    <row r="20" spans="1:29" x14ac:dyDescent="0.2">
      <c r="A20">
        <v>229</v>
      </c>
      <c r="B20" t="s">
        <v>29</v>
      </c>
      <c r="C20">
        <v>25</v>
      </c>
      <c r="D20">
        <v>1531</v>
      </c>
      <c r="E20">
        <v>1</v>
      </c>
      <c r="F20" s="2">
        <f t="shared" si="0"/>
        <v>5.8785107772697583E-2</v>
      </c>
      <c r="G20" s="2">
        <v>1.6294421814382081</v>
      </c>
      <c r="H20" s="2">
        <f t="shared" si="1"/>
        <v>9.5786934245224511E-2</v>
      </c>
      <c r="I20">
        <v>4</v>
      </c>
      <c r="J20" s="2">
        <f t="shared" si="2"/>
        <v>0.23514043109079033</v>
      </c>
      <c r="K20" s="2">
        <v>2.575972074642777</v>
      </c>
      <c r="L20" s="2">
        <f t="shared" si="3"/>
        <v>0.15142879602733503</v>
      </c>
      <c r="M20">
        <v>25</v>
      </c>
      <c r="N20" s="2">
        <f t="shared" si="4"/>
        <v>1.4696276943174396</v>
      </c>
      <c r="O20">
        <v>29</v>
      </c>
      <c r="P20" s="2">
        <f t="shared" si="5"/>
        <v>1.7047681254082299</v>
      </c>
      <c r="Q20" s="3" t="s">
        <v>223</v>
      </c>
      <c r="R20" t="s">
        <v>31</v>
      </c>
      <c r="S20">
        <v>1</v>
      </c>
      <c r="T20" s="2">
        <f t="shared" si="6"/>
        <v>5.8785107772697583E-2</v>
      </c>
      <c r="U20" s="2">
        <v>1.6294421814382081</v>
      </c>
      <c r="V20" s="2">
        <f t="shared" si="7"/>
        <v>9.5786934245224511E-2</v>
      </c>
      <c r="W20" s="2">
        <v>12.86691565066576</v>
      </c>
      <c r="X20" s="2">
        <f t="shared" si="8"/>
        <v>0.75638302322659601</v>
      </c>
      <c r="Y20" s="2">
        <v>10.5484320120886</v>
      </c>
      <c r="Z20" s="2">
        <f t="shared" si="9"/>
        <v>0.62009071266360161</v>
      </c>
      <c r="AA20">
        <v>2021</v>
      </c>
      <c r="AB20">
        <v>1</v>
      </c>
      <c r="AC20">
        <v>20000000</v>
      </c>
    </row>
    <row r="21" spans="1:29" x14ac:dyDescent="0.2">
      <c r="A21">
        <v>229</v>
      </c>
      <c r="B21" t="s">
        <v>29</v>
      </c>
      <c r="C21">
        <v>18</v>
      </c>
      <c r="D21">
        <v>1258</v>
      </c>
      <c r="E21">
        <v>0</v>
      </c>
      <c r="F21" s="2">
        <f t="shared" si="0"/>
        <v>0</v>
      </c>
      <c r="G21" s="2">
        <v>0.39727576170116657</v>
      </c>
      <c r="H21" s="2">
        <f t="shared" si="1"/>
        <v>2.8421954334741647E-2</v>
      </c>
      <c r="I21">
        <v>0</v>
      </c>
      <c r="J21" s="2">
        <f t="shared" si="2"/>
        <v>0</v>
      </c>
      <c r="K21" s="2">
        <v>1.401967326179147</v>
      </c>
      <c r="L21" s="2">
        <f t="shared" si="3"/>
        <v>0.10029972921790399</v>
      </c>
      <c r="M21">
        <v>10</v>
      </c>
      <c r="N21" s="2">
        <f t="shared" si="4"/>
        <v>0.71542130365659773</v>
      </c>
      <c r="O21">
        <v>17</v>
      </c>
      <c r="P21" s="2">
        <f t="shared" si="5"/>
        <v>1.2162162162162162</v>
      </c>
      <c r="Q21" s="3" t="s">
        <v>223</v>
      </c>
      <c r="R21" t="s">
        <v>31</v>
      </c>
      <c r="S21">
        <v>0</v>
      </c>
      <c r="T21" s="2">
        <f t="shared" si="6"/>
        <v>0</v>
      </c>
      <c r="U21" s="2">
        <v>0.39727576170116657</v>
      </c>
      <c r="V21" s="2">
        <f t="shared" si="7"/>
        <v>2.8421954334741647E-2</v>
      </c>
      <c r="W21" s="2">
        <v>8.8774022683501244</v>
      </c>
      <c r="X21" s="2">
        <f t="shared" si="8"/>
        <v>0.63510827039070838</v>
      </c>
      <c r="Y21" s="2">
        <v>7.2617439161986113</v>
      </c>
      <c r="Z21" s="2">
        <f t="shared" si="9"/>
        <v>0.51952062993471781</v>
      </c>
      <c r="AA21">
        <v>2022</v>
      </c>
      <c r="AB21">
        <v>1</v>
      </c>
      <c r="AC21">
        <v>15000000</v>
      </c>
    </row>
    <row r="22" spans="1:29" x14ac:dyDescent="0.2">
      <c r="A22">
        <v>239</v>
      </c>
      <c r="B22" t="s">
        <v>32</v>
      </c>
      <c r="C22">
        <v>33</v>
      </c>
      <c r="D22">
        <v>2734</v>
      </c>
      <c r="E22">
        <v>5</v>
      </c>
      <c r="F22" s="2">
        <f t="shared" si="0"/>
        <v>0.16459400146305778</v>
      </c>
      <c r="G22" s="2">
        <v>5.6761255860328674</v>
      </c>
      <c r="H22" s="2">
        <f t="shared" si="1"/>
        <v>0.18685124460239871</v>
      </c>
      <c r="I22">
        <v>4</v>
      </c>
      <c r="J22" s="2">
        <f t="shared" si="2"/>
        <v>0.13167520117044623</v>
      </c>
      <c r="K22" s="2">
        <v>7.707257429137826</v>
      </c>
      <c r="L22" s="2">
        <f t="shared" si="3"/>
        <v>0.25371366811353485</v>
      </c>
      <c r="M22">
        <v>51</v>
      </c>
      <c r="N22" s="2">
        <f t="shared" si="4"/>
        <v>1.6788588149231896</v>
      </c>
      <c r="O22">
        <v>98</v>
      </c>
      <c r="P22" s="2">
        <f t="shared" si="5"/>
        <v>3.2260424286759326</v>
      </c>
      <c r="Q22" s="3" t="s">
        <v>223</v>
      </c>
      <c r="R22" t="s">
        <v>33</v>
      </c>
      <c r="S22">
        <v>2</v>
      </c>
      <c r="T22" s="2">
        <f t="shared" si="6"/>
        <v>6.5837600585223116E-2</v>
      </c>
      <c r="U22" s="2">
        <v>3.4027959629893298</v>
      </c>
      <c r="V22" s="2">
        <f t="shared" si="7"/>
        <v>0.11201596074215057</v>
      </c>
      <c r="W22" s="2">
        <v>10.09060737211257</v>
      </c>
      <c r="X22" s="2">
        <f t="shared" si="8"/>
        <v>0.33217068891372764</v>
      </c>
      <c r="Y22" s="2">
        <v>5.5454715471714744</v>
      </c>
      <c r="Z22" s="2">
        <f t="shared" si="9"/>
        <v>0.1825502703896974</v>
      </c>
      <c r="AA22">
        <v>2016</v>
      </c>
      <c r="AB22">
        <v>0</v>
      </c>
      <c r="AC22">
        <v>4000000</v>
      </c>
    </row>
    <row r="23" spans="1:29" x14ac:dyDescent="0.2">
      <c r="A23">
        <v>239</v>
      </c>
      <c r="B23" t="s">
        <v>32</v>
      </c>
      <c r="C23">
        <v>38</v>
      </c>
      <c r="D23">
        <v>2979</v>
      </c>
      <c r="E23">
        <v>7</v>
      </c>
      <c r="F23" s="2">
        <f t="shared" si="0"/>
        <v>0.21148036253776434</v>
      </c>
      <c r="G23" s="2">
        <v>3.3350264979526401</v>
      </c>
      <c r="H23" s="2">
        <f t="shared" si="1"/>
        <v>0.10075608755143928</v>
      </c>
      <c r="I23">
        <v>8</v>
      </c>
      <c r="J23" s="2">
        <f t="shared" si="2"/>
        <v>0.2416918429003021</v>
      </c>
      <c r="K23" s="2">
        <v>8.6560031659901142</v>
      </c>
      <c r="L23" s="2">
        <f t="shared" si="3"/>
        <v>0.26151066966737507</v>
      </c>
      <c r="M23">
        <v>43</v>
      </c>
      <c r="N23" s="2">
        <f t="shared" si="4"/>
        <v>1.2990936555891239</v>
      </c>
      <c r="O23">
        <v>81</v>
      </c>
      <c r="P23" s="2">
        <f t="shared" si="5"/>
        <v>2.4471299093655587</v>
      </c>
      <c r="Q23" s="3" t="s">
        <v>223</v>
      </c>
      <c r="R23" t="s">
        <v>34</v>
      </c>
      <c r="S23">
        <v>6</v>
      </c>
      <c r="T23" s="2">
        <f t="shared" si="6"/>
        <v>0.18126888217522658</v>
      </c>
      <c r="U23" s="2">
        <v>2.5738579919561739</v>
      </c>
      <c r="V23" s="2">
        <f t="shared" si="7"/>
        <v>7.7760060179944829E-2</v>
      </c>
      <c r="W23" s="2">
        <v>12.210078336298469</v>
      </c>
      <c r="X23" s="2">
        <f t="shared" si="8"/>
        <v>0.36888454188212894</v>
      </c>
      <c r="Y23" s="2">
        <v>5.4259271454066038</v>
      </c>
      <c r="Z23" s="2">
        <f t="shared" si="9"/>
        <v>0.1639252914020122</v>
      </c>
      <c r="AA23">
        <v>2017</v>
      </c>
      <c r="AB23">
        <v>0</v>
      </c>
      <c r="AC23">
        <v>10000000</v>
      </c>
    </row>
    <row r="24" spans="1:29" x14ac:dyDescent="0.2">
      <c r="A24">
        <v>239</v>
      </c>
      <c r="B24" t="s">
        <v>32</v>
      </c>
      <c r="C24">
        <v>25</v>
      </c>
      <c r="D24">
        <v>1896</v>
      </c>
      <c r="E24">
        <v>3</v>
      </c>
      <c r="F24" s="2">
        <f t="shared" si="0"/>
        <v>0.14240506329113925</v>
      </c>
      <c r="G24" s="2">
        <v>4.1436279825866222</v>
      </c>
      <c r="H24" s="2">
        <f t="shared" si="1"/>
        <v>0.19669120170506119</v>
      </c>
      <c r="I24">
        <v>3</v>
      </c>
      <c r="J24" s="2">
        <f t="shared" si="2"/>
        <v>0.14240506329113925</v>
      </c>
      <c r="K24" s="2">
        <v>5.6086894376203418</v>
      </c>
      <c r="L24" s="2">
        <f t="shared" si="3"/>
        <v>0.26623525811488968</v>
      </c>
      <c r="M24">
        <v>24</v>
      </c>
      <c r="N24" s="2">
        <f t="shared" si="4"/>
        <v>1.139240506329114</v>
      </c>
      <c r="O24">
        <v>54</v>
      </c>
      <c r="P24" s="2">
        <f t="shared" si="5"/>
        <v>2.5632911392405062</v>
      </c>
      <c r="Q24" s="3" t="s">
        <v>223</v>
      </c>
      <c r="R24" t="s">
        <v>34</v>
      </c>
      <c r="S24">
        <v>2</v>
      </c>
      <c r="T24" s="2">
        <f t="shared" si="6"/>
        <v>9.4936708860759486E-2</v>
      </c>
      <c r="U24" s="2">
        <v>2.6212899498641491</v>
      </c>
      <c r="V24" s="2">
        <f t="shared" si="7"/>
        <v>0.1244283204049438</v>
      </c>
      <c r="W24" s="2">
        <v>6.6149045862257481</v>
      </c>
      <c r="X24" s="2">
        <f t="shared" si="8"/>
        <v>0.31399863542210826</v>
      </c>
      <c r="Y24" s="2">
        <v>2.356040234677494</v>
      </c>
      <c r="Z24" s="2">
        <f t="shared" si="9"/>
        <v>0.11183735291190636</v>
      </c>
      <c r="AA24">
        <v>2018</v>
      </c>
      <c r="AB24">
        <v>1</v>
      </c>
      <c r="AC24">
        <v>10000000</v>
      </c>
    </row>
    <row r="25" spans="1:29" x14ac:dyDescent="0.2">
      <c r="A25">
        <v>239</v>
      </c>
      <c r="B25" t="s">
        <v>32</v>
      </c>
      <c r="C25">
        <v>29</v>
      </c>
      <c r="D25">
        <v>1812</v>
      </c>
      <c r="E25">
        <v>2</v>
      </c>
      <c r="F25" s="2">
        <f t="shared" si="0"/>
        <v>9.9337748344370855E-2</v>
      </c>
      <c r="G25" s="2">
        <v>1.456096102483571</v>
      </c>
      <c r="H25" s="2">
        <f t="shared" si="1"/>
        <v>7.2322654096866112E-2</v>
      </c>
      <c r="I25">
        <v>4</v>
      </c>
      <c r="J25" s="2">
        <f t="shared" si="2"/>
        <v>0.19867549668874171</v>
      </c>
      <c r="K25" s="2">
        <v>5.9547046106308699</v>
      </c>
      <c r="L25" s="2">
        <f t="shared" si="3"/>
        <v>0.29576347403795711</v>
      </c>
      <c r="M25">
        <v>29</v>
      </c>
      <c r="N25" s="2">
        <f t="shared" si="4"/>
        <v>1.4403973509933774</v>
      </c>
      <c r="O25">
        <v>59</v>
      </c>
      <c r="P25" s="2">
        <f t="shared" si="5"/>
        <v>2.9304635761589406</v>
      </c>
      <c r="Q25" s="3" t="s">
        <v>223</v>
      </c>
      <c r="R25" t="s">
        <v>34</v>
      </c>
      <c r="S25">
        <v>2</v>
      </c>
      <c r="T25" s="2">
        <f t="shared" si="6"/>
        <v>9.9337748344370855E-2</v>
      </c>
      <c r="U25" s="2">
        <v>1.456096102483571</v>
      </c>
      <c r="V25" s="2">
        <f t="shared" si="7"/>
        <v>7.2322654096866112E-2</v>
      </c>
      <c r="W25" s="2">
        <v>8.3120024539530277</v>
      </c>
      <c r="X25" s="2">
        <f t="shared" si="8"/>
        <v>0.41284780400428944</v>
      </c>
      <c r="Y25" s="2">
        <v>6.0194109473377466</v>
      </c>
      <c r="Z25" s="2">
        <f t="shared" si="9"/>
        <v>0.29897736493399407</v>
      </c>
      <c r="AA25">
        <v>2019</v>
      </c>
      <c r="AB25">
        <v>1</v>
      </c>
      <c r="AC25">
        <v>9500000</v>
      </c>
    </row>
    <row r="26" spans="1:29" x14ac:dyDescent="0.2">
      <c r="A26">
        <v>306</v>
      </c>
      <c r="B26" t="s">
        <v>35</v>
      </c>
      <c r="C26">
        <v>33</v>
      </c>
      <c r="D26">
        <v>2762</v>
      </c>
      <c r="E26">
        <v>13</v>
      </c>
      <c r="F26" s="2">
        <f t="shared" si="0"/>
        <v>0.42360608254887766</v>
      </c>
      <c r="G26" s="2">
        <v>14.08520199917257</v>
      </c>
      <c r="H26" s="2">
        <f t="shared" si="1"/>
        <v>0.45896748005993165</v>
      </c>
      <c r="I26">
        <v>6</v>
      </c>
      <c r="J26" s="2">
        <f t="shared" si="2"/>
        <v>0.19551049963794354</v>
      </c>
      <c r="K26" s="2">
        <v>5.8579889293760061</v>
      </c>
      <c r="L26" s="2">
        <f t="shared" si="3"/>
        <v>0.19088305707597414</v>
      </c>
      <c r="M26">
        <v>78</v>
      </c>
      <c r="N26" s="2">
        <f t="shared" si="4"/>
        <v>2.5416364952932655</v>
      </c>
      <c r="O26">
        <v>29</v>
      </c>
      <c r="P26" s="2">
        <f t="shared" si="5"/>
        <v>0.94496741491672698</v>
      </c>
      <c r="Q26" t="s">
        <v>222</v>
      </c>
      <c r="R26" t="s">
        <v>23</v>
      </c>
      <c r="S26">
        <v>12</v>
      </c>
      <c r="T26" s="2">
        <f t="shared" si="6"/>
        <v>0.39102099927588707</v>
      </c>
      <c r="U26" s="2">
        <v>12.569648077711459</v>
      </c>
      <c r="V26" s="2">
        <f t="shared" si="7"/>
        <v>0.40958302932441398</v>
      </c>
      <c r="W26" s="2">
        <v>17.57950815744698</v>
      </c>
      <c r="X26" s="2">
        <f t="shared" si="8"/>
        <v>0.57282973720862718</v>
      </c>
      <c r="Y26" s="2">
        <v>1.62377629801631</v>
      </c>
      <c r="Z26" s="2">
        <f t="shared" si="9"/>
        <v>5.2910885887569842E-2</v>
      </c>
      <c r="AA26">
        <v>2019</v>
      </c>
      <c r="AB26">
        <v>0</v>
      </c>
      <c r="AC26">
        <v>8000000</v>
      </c>
    </row>
    <row r="27" spans="1:29" x14ac:dyDescent="0.2">
      <c r="A27">
        <v>306</v>
      </c>
      <c r="B27" t="s">
        <v>35</v>
      </c>
      <c r="C27">
        <v>28</v>
      </c>
      <c r="D27">
        <v>1776</v>
      </c>
      <c r="E27">
        <v>5</v>
      </c>
      <c r="F27" s="2">
        <f t="shared" si="0"/>
        <v>0.25337837837837834</v>
      </c>
      <c r="G27" s="2">
        <v>6.169159272685647</v>
      </c>
      <c r="H27" s="2">
        <f t="shared" si="1"/>
        <v>0.31262631449420508</v>
      </c>
      <c r="I27">
        <v>4</v>
      </c>
      <c r="J27" s="2">
        <f t="shared" si="2"/>
        <v>0.20270270270270271</v>
      </c>
      <c r="K27" s="2">
        <v>2.5173885156400502</v>
      </c>
      <c r="L27" s="2">
        <f t="shared" si="3"/>
        <v>0.12757036396824578</v>
      </c>
      <c r="M27">
        <v>47</v>
      </c>
      <c r="N27" s="2">
        <f t="shared" si="4"/>
        <v>2.3817567567567566</v>
      </c>
      <c r="O27">
        <v>13</v>
      </c>
      <c r="P27" s="2">
        <f t="shared" si="5"/>
        <v>0.65878378378378377</v>
      </c>
      <c r="Q27" t="s">
        <v>222</v>
      </c>
      <c r="R27" t="s">
        <v>23</v>
      </c>
      <c r="S27">
        <v>5</v>
      </c>
      <c r="T27" s="2">
        <f t="shared" si="6"/>
        <v>0.25337837837837834</v>
      </c>
      <c r="U27" s="2">
        <v>6.169159272685647</v>
      </c>
      <c r="V27" s="2">
        <f t="shared" si="7"/>
        <v>0.31262631449420508</v>
      </c>
      <c r="W27" s="2">
        <v>9.2648363523185235</v>
      </c>
      <c r="X27" s="2">
        <f t="shared" si="8"/>
        <v>0.46950184217830354</v>
      </c>
      <c r="Y27" s="2">
        <v>1.3977059032768011</v>
      </c>
      <c r="Z27" s="2">
        <f t="shared" si="9"/>
        <v>7.0829691044432486E-2</v>
      </c>
      <c r="AA27">
        <v>2020</v>
      </c>
      <c r="AB27">
        <v>0</v>
      </c>
      <c r="AC27">
        <v>4000000</v>
      </c>
    </row>
    <row r="28" spans="1:29" x14ac:dyDescent="0.2">
      <c r="A28">
        <v>306</v>
      </c>
      <c r="B28" t="s">
        <v>35</v>
      </c>
      <c r="C28">
        <v>26</v>
      </c>
      <c r="D28">
        <v>1146</v>
      </c>
      <c r="E28">
        <v>5</v>
      </c>
      <c r="F28" s="2">
        <f t="shared" si="0"/>
        <v>0.39267015706806285</v>
      </c>
      <c r="G28" s="2">
        <v>5.4416665118187666</v>
      </c>
      <c r="H28" s="2">
        <f t="shared" si="1"/>
        <v>0.42735600878157848</v>
      </c>
      <c r="I28">
        <v>3</v>
      </c>
      <c r="J28" s="2">
        <f t="shared" si="2"/>
        <v>0.23560209424083772</v>
      </c>
      <c r="K28" s="2">
        <v>0.71355140022933483</v>
      </c>
      <c r="L28" s="2">
        <f t="shared" si="3"/>
        <v>5.6038068080837812E-2</v>
      </c>
      <c r="M28">
        <v>28</v>
      </c>
      <c r="N28" s="2">
        <f t="shared" si="4"/>
        <v>2.1989528795811517</v>
      </c>
      <c r="O28">
        <v>14</v>
      </c>
      <c r="P28" s="2">
        <f t="shared" si="5"/>
        <v>1.0994764397905759</v>
      </c>
      <c r="Q28" t="s">
        <v>222</v>
      </c>
      <c r="R28" t="s">
        <v>23</v>
      </c>
      <c r="S28">
        <v>5</v>
      </c>
      <c r="T28" s="2">
        <f t="shared" si="6"/>
        <v>0.39267015706806285</v>
      </c>
      <c r="U28" s="2">
        <v>5.4416665118187666</v>
      </c>
      <c r="V28" s="2">
        <f t="shared" si="7"/>
        <v>0.42735600878157848</v>
      </c>
      <c r="W28" s="2">
        <v>5.0957693122327328</v>
      </c>
      <c r="X28" s="2">
        <f t="shared" si="8"/>
        <v>0.40019130724340835</v>
      </c>
      <c r="Y28" s="2">
        <v>0.82069052010774612</v>
      </c>
      <c r="Z28" s="2">
        <f t="shared" si="9"/>
        <v>6.4452135086995765E-2</v>
      </c>
      <c r="AA28">
        <v>2021</v>
      </c>
      <c r="AB28">
        <v>1</v>
      </c>
      <c r="AC28">
        <v>2200000</v>
      </c>
    </row>
    <row r="29" spans="1:29" x14ac:dyDescent="0.2">
      <c r="A29">
        <v>306</v>
      </c>
      <c r="B29" t="s">
        <v>35</v>
      </c>
      <c r="C29">
        <v>14</v>
      </c>
      <c r="D29">
        <v>913</v>
      </c>
      <c r="E29">
        <v>4</v>
      </c>
      <c r="F29" s="2">
        <f t="shared" si="0"/>
        <v>0.39430449069003287</v>
      </c>
      <c r="G29" s="2">
        <v>3.010751966387033</v>
      </c>
      <c r="H29" s="2">
        <f t="shared" si="1"/>
        <v>0.29678825517506352</v>
      </c>
      <c r="I29">
        <v>1</v>
      </c>
      <c r="J29" s="2">
        <f t="shared" si="2"/>
        <v>9.8576122672508218E-2</v>
      </c>
      <c r="K29" s="2">
        <v>0.29498099721968168</v>
      </c>
      <c r="L29" s="2">
        <f t="shared" si="3"/>
        <v>2.9078082967986144E-2</v>
      </c>
      <c r="M29">
        <v>28</v>
      </c>
      <c r="N29" s="2">
        <f t="shared" si="4"/>
        <v>2.7601314348302299</v>
      </c>
      <c r="O29">
        <v>5</v>
      </c>
      <c r="P29" s="2">
        <f t="shared" si="5"/>
        <v>0.49288061336254108</v>
      </c>
      <c r="Q29" t="s">
        <v>222</v>
      </c>
      <c r="R29" t="s">
        <v>23</v>
      </c>
      <c r="S29">
        <v>4</v>
      </c>
      <c r="T29" s="2">
        <f t="shared" si="6"/>
        <v>0.39430449069003287</v>
      </c>
      <c r="U29" s="2">
        <v>3.010751966387033</v>
      </c>
      <c r="V29" s="2">
        <f t="shared" si="7"/>
        <v>0.29678825517506352</v>
      </c>
      <c r="W29" s="2">
        <v>3.9938678257167339</v>
      </c>
      <c r="X29" s="2">
        <f t="shared" si="8"/>
        <v>0.39370000472563638</v>
      </c>
      <c r="Y29" s="2">
        <v>1.4563227035105231</v>
      </c>
      <c r="Z29" s="2">
        <f t="shared" si="9"/>
        <v>0.14355864547201214</v>
      </c>
      <c r="AA29">
        <v>2022</v>
      </c>
      <c r="AB29">
        <v>1</v>
      </c>
      <c r="AC29">
        <v>800000</v>
      </c>
    </row>
    <row r="30" spans="1:29" x14ac:dyDescent="0.2">
      <c r="A30">
        <v>314</v>
      </c>
      <c r="B30" t="s">
        <v>36</v>
      </c>
      <c r="C30">
        <v>23</v>
      </c>
      <c r="D30">
        <v>1913</v>
      </c>
      <c r="E30">
        <v>3</v>
      </c>
      <c r="F30" s="2">
        <f t="shared" si="0"/>
        <v>0.14113957135389441</v>
      </c>
      <c r="G30" s="2">
        <v>2.229732790030539</v>
      </c>
      <c r="H30" s="2">
        <f t="shared" si="1"/>
        <v>0.10490117673954444</v>
      </c>
      <c r="I30">
        <v>4</v>
      </c>
      <c r="J30" s="2">
        <f t="shared" si="2"/>
        <v>0.18818609513852586</v>
      </c>
      <c r="K30" s="2">
        <v>3.229163646697998</v>
      </c>
      <c r="L30" s="2">
        <f t="shared" si="3"/>
        <v>0.15192092430884466</v>
      </c>
      <c r="M30">
        <v>40</v>
      </c>
      <c r="N30" s="2">
        <f t="shared" si="4"/>
        <v>1.8818609513852587</v>
      </c>
      <c r="O30">
        <v>28</v>
      </c>
      <c r="P30" s="2">
        <f t="shared" si="5"/>
        <v>1.3173026659696812</v>
      </c>
      <c r="Q30" t="s">
        <v>223</v>
      </c>
      <c r="R30" t="s">
        <v>37</v>
      </c>
      <c r="S30">
        <v>3</v>
      </c>
      <c r="T30" s="2">
        <f t="shared" si="6"/>
        <v>0.14113957135389441</v>
      </c>
      <c r="U30" s="2">
        <v>2.229732790030539</v>
      </c>
      <c r="V30" s="2">
        <f t="shared" si="7"/>
        <v>0.10490117673954444</v>
      </c>
      <c r="W30" s="2">
        <v>12.495804113335909</v>
      </c>
      <c r="X30" s="2">
        <f t="shared" si="8"/>
        <v>0.58788414542615353</v>
      </c>
      <c r="Y30" s="2">
        <v>9.1892336113378406</v>
      </c>
      <c r="Z30" s="2">
        <f t="shared" si="9"/>
        <v>0.43232149765834066</v>
      </c>
      <c r="AA30">
        <v>2014</v>
      </c>
      <c r="AB30">
        <v>0</v>
      </c>
      <c r="AC30">
        <v>20000000</v>
      </c>
    </row>
    <row r="31" spans="1:29" x14ac:dyDescent="0.2">
      <c r="A31">
        <v>314</v>
      </c>
      <c r="B31" t="s">
        <v>36</v>
      </c>
      <c r="C31">
        <v>25</v>
      </c>
      <c r="D31">
        <v>1998</v>
      </c>
      <c r="E31">
        <v>1</v>
      </c>
      <c r="F31" s="2">
        <f t="shared" si="0"/>
        <v>4.5045045045045043E-2</v>
      </c>
      <c r="G31" s="2">
        <v>3.7826455179601899</v>
      </c>
      <c r="H31" s="2">
        <f t="shared" si="1"/>
        <v>0.1703894377459545</v>
      </c>
      <c r="I31">
        <v>3</v>
      </c>
      <c r="J31" s="2">
        <f t="shared" si="2"/>
        <v>0.13513513513513514</v>
      </c>
      <c r="K31" s="2">
        <v>4.097148354165256</v>
      </c>
      <c r="L31" s="2">
        <f t="shared" si="3"/>
        <v>0.18455623216960612</v>
      </c>
      <c r="M31">
        <v>50</v>
      </c>
      <c r="N31" s="2">
        <f t="shared" si="4"/>
        <v>2.2522522522522523</v>
      </c>
      <c r="O31">
        <v>25</v>
      </c>
      <c r="P31" s="2">
        <f t="shared" si="5"/>
        <v>1.1261261261261262</v>
      </c>
      <c r="Q31" t="s">
        <v>223</v>
      </c>
      <c r="R31" t="s">
        <v>37</v>
      </c>
      <c r="S31">
        <v>1</v>
      </c>
      <c r="T31" s="2">
        <f t="shared" si="6"/>
        <v>4.5045045045045043E-2</v>
      </c>
      <c r="U31" s="2">
        <v>3.7826455179601899</v>
      </c>
      <c r="V31" s="2">
        <f t="shared" si="7"/>
        <v>0.1703894377459545</v>
      </c>
      <c r="W31" s="2">
        <v>24.366062894463539</v>
      </c>
      <c r="X31" s="2">
        <f t="shared" si="8"/>
        <v>1.0975704006515108</v>
      </c>
      <c r="Y31" s="2">
        <v>19.132661495357748</v>
      </c>
      <c r="Z31" s="2">
        <f t="shared" si="9"/>
        <v>0.86183159888998873</v>
      </c>
      <c r="AA31">
        <v>2015</v>
      </c>
      <c r="AB31">
        <v>0</v>
      </c>
      <c r="AC31">
        <v>30000000</v>
      </c>
    </row>
    <row r="32" spans="1:29" x14ac:dyDescent="0.2">
      <c r="A32">
        <v>314</v>
      </c>
      <c r="B32" t="s">
        <v>36</v>
      </c>
      <c r="C32">
        <v>10</v>
      </c>
      <c r="D32">
        <v>717</v>
      </c>
      <c r="E32">
        <v>3</v>
      </c>
      <c r="F32" s="2">
        <f t="shared" si="0"/>
        <v>0.37656903765690375</v>
      </c>
      <c r="G32" s="2">
        <v>1.9211891395971179</v>
      </c>
      <c r="H32" s="2">
        <f t="shared" si="1"/>
        <v>0.24115344848499387</v>
      </c>
      <c r="I32">
        <v>1</v>
      </c>
      <c r="J32" s="2">
        <f t="shared" si="2"/>
        <v>0.12552301255230125</v>
      </c>
      <c r="K32" s="2">
        <v>0.97616787627339363</v>
      </c>
      <c r="L32" s="2">
        <f t="shared" si="3"/>
        <v>0.12253153258661845</v>
      </c>
      <c r="M32">
        <v>16</v>
      </c>
      <c r="N32" s="2">
        <f t="shared" si="4"/>
        <v>2.00836820083682</v>
      </c>
      <c r="O32">
        <v>12</v>
      </c>
      <c r="P32" s="2">
        <f t="shared" si="5"/>
        <v>1.506276150627615</v>
      </c>
      <c r="Q32" t="s">
        <v>223</v>
      </c>
      <c r="R32" t="s">
        <v>38</v>
      </c>
      <c r="S32">
        <v>3</v>
      </c>
      <c r="T32" s="2">
        <f t="shared" si="6"/>
        <v>0.37656903765690375</v>
      </c>
      <c r="U32" s="2">
        <v>1.9211891395971179</v>
      </c>
      <c r="V32" s="2">
        <f t="shared" si="7"/>
        <v>0.24115344848499387</v>
      </c>
      <c r="W32" s="2">
        <v>6.5414592139422894</v>
      </c>
      <c r="X32" s="2">
        <f t="shared" si="8"/>
        <v>0.82110366702204463</v>
      </c>
      <c r="Y32" s="2">
        <v>4.1477210931479931</v>
      </c>
      <c r="Z32" s="2">
        <f t="shared" si="9"/>
        <v>0.52063444683866023</v>
      </c>
      <c r="AA32">
        <v>2016</v>
      </c>
      <c r="AB32">
        <v>1</v>
      </c>
      <c r="AC32">
        <v>30000000</v>
      </c>
    </row>
    <row r="33" spans="1:29" x14ac:dyDescent="0.2">
      <c r="A33">
        <v>314</v>
      </c>
      <c r="B33" t="s">
        <v>36</v>
      </c>
      <c r="C33">
        <v>30</v>
      </c>
      <c r="D33">
        <v>1504</v>
      </c>
      <c r="E33">
        <v>4</v>
      </c>
      <c r="F33" s="2">
        <f t="shared" si="0"/>
        <v>0.23936170212765956</v>
      </c>
      <c r="G33" s="2">
        <v>3.5836645103991032</v>
      </c>
      <c r="H33" s="2">
        <f t="shared" si="1"/>
        <v>0.21444800926590377</v>
      </c>
      <c r="I33">
        <v>1</v>
      </c>
      <c r="J33" s="2">
        <f t="shared" si="2"/>
        <v>5.984042553191489E-2</v>
      </c>
      <c r="K33" s="2">
        <v>2.3488303199410439</v>
      </c>
      <c r="L33" s="2">
        <f t="shared" si="3"/>
        <v>0.14055500584753586</v>
      </c>
      <c r="M33">
        <v>35</v>
      </c>
      <c r="N33" s="2">
        <f t="shared" si="4"/>
        <v>2.0944148936170213</v>
      </c>
      <c r="O33">
        <v>21</v>
      </c>
      <c r="P33" s="2">
        <f t="shared" si="5"/>
        <v>1.2566489361702127</v>
      </c>
      <c r="Q33" t="s">
        <v>223</v>
      </c>
      <c r="R33" t="s">
        <v>38</v>
      </c>
      <c r="S33">
        <v>3</v>
      </c>
      <c r="T33" s="2">
        <f t="shared" si="6"/>
        <v>0.17952127659574466</v>
      </c>
      <c r="U33" s="2">
        <v>2.8224959895014758</v>
      </c>
      <c r="V33" s="2">
        <f t="shared" si="7"/>
        <v>0.1688993610738915</v>
      </c>
      <c r="W33" s="2">
        <v>14.065661202184859</v>
      </c>
      <c r="X33" s="2">
        <f t="shared" si="8"/>
        <v>0.84169515172648757</v>
      </c>
      <c r="Y33" s="2">
        <v>10.724260763265191</v>
      </c>
      <c r="Z33" s="2">
        <f t="shared" si="9"/>
        <v>0.64174432758900746</v>
      </c>
      <c r="AA33">
        <v>2017</v>
      </c>
      <c r="AB33">
        <v>1</v>
      </c>
      <c r="AC33">
        <v>40000000</v>
      </c>
    </row>
    <row r="34" spans="1:29" x14ac:dyDescent="0.2">
      <c r="A34">
        <v>317</v>
      </c>
      <c r="B34" t="s">
        <v>39</v>
      </c>
      <c r="C34">
        <v>31</v>
      </c>
      <c r="D34">
        <v>2578</v>
      </c>
      <c r="E34">
        <v>11</v>
      </c>
      <c r="F34" s="2">
        <f t="shared" si="0"/>
        <v>0.38401861908456164</v>
      </c>
      <c r="G34" s="2">
        <v>11.49496296048164</v>
      </c>
      <c r="H34" s="2">
        <f t="shared" si="1"/>
        <v>0.40129816386475858</v>
      </c>
      <c r="I34">
        <v>15</v>
      </c>
      <c r="J34" s="2">
        <f t="shared" si="2"/>
        <v>0.5236617532971295</v>
      </c>
      <c r="K34" s="2">
        <v>15.8819385189563</v>
      </c>
      <c r="L34" s="2">
        <f t="shared" si="3"/>
        <v>0.55445091803959157</v>
      </c>
      <c r="M34">
        <v>81</v>
      </c>
      <c r="N34" s="2">
        <f t="shared" si="4"/>
        <v>2.8277734678044997</v>
      </c>
      <c r="O34">
        <v>83</v>
      </c>
      <c r="P34" s="2">
        <f t="shared" si="5"/>
        <v>2.897595034910784</v>
      </c>
      <c r="Q34" s="3" t="s">
        <v>223</v>
      </c>
      <c r="R34" t="s">
        <v>37</v>
      </c>
      <c r="S34">
        <v>11</v>
      </c>
      <c r="T34" s="2">
        <f t="shared" si="6"/>
        <v>0.38401861908456164</v>
      </c>
      <c r="U34" s="2">
        <v>11.49496296048164</v>
      </c>
      <c r="V34" s="2">
        <f t="shared" si="7"/>
        <v>0.40129816386475858</v>
      </c>
      <c r="W34" s="2">
        <v>36.198573464527733</v>
      </c>
      <c r="X34" s="2">
        <f t="shared" si="8"/>
        <v>1.2637205631526363</v>
      </c>
      <c r="Y34" s="2">
        <v>14.73181593418121</v>
      </c>
      <c r="Z34" s="2">
        <f t="shared" si="9"/>
        <v>0.51429923742292827</v>
      </c>
      <c r="AA34">
        <v>2015</v>
      </c>
      <c r="AB34">
        <v>0</v>
      </c>
      <c r="AC34">
        <v>37000000</v>
      </c>
    </row>
    <row r="35" spans="1:29" x14ac:dyDescent="0.2">
      <c r="A35">
        <v>317</v>
      </c>
      <c r="B35" t="s">
        <v>39</v>
      </c>
      <c r="C35">
        <v>24</v>
      </c>
      <c r="D35">
        <v>1347</v>
      </c>
      <c r="E35">
        <v>4</v>
      </c>
      <c r="F35" s="2">
        <f t="shared" si="0"/>
        <v>0.26726057906458794</v>
      </c>
      <c r="G35" s="2">
        <v>2.705853803083301</v>
      </c>
      <c r="H35" s="2">
        <f t="shared" si="1"/>
        <v>0.18079201356904018</v>
      </c>
      <c r="I35">
        <v>1</v>
      </c>
      <c r="J35" s="2">
        <f t="shared" si="2"/>
        <v>6.6815144766146986E-2</v>
      </c>
      <c r="K35" s="2">
        <v>3.524276046082377</v>
      </c>
      <c r="L35" s="2">
        <f t="shared" si="3"/>
        <v>0.23547501421485817</v>
      </c>
      <c r="M35">
        <v>32</v>
      </c>
      <c r="N35" s="2">
        <f t="shared" si="4"/>
        <v>2.1380846325167036</v>
      </c>
      <c r="O35">
        <v>29</v>
      </c>
      <c r="P35" s="2">
        <f t="shared" si="5"/>
        <v>1.9376391982182628</v>
      </c>
      <c r="Q35" s="3" t="s">
        <v>223</v>
      </c>
      <c r="R35" t="s">
        <v>40</v>
      </c>
      <c r="S35">
        <v>4</v>
      </c>
      <c r="T35" s="2">
        <f t="shared" si="6"/>
        <v>0.26726057906458794</v>
      </c>
      <c r="U35" s="2">
        <v>2.705853803083301</v>
      </c>
      <c r="V35" s="2">
        <f t="shared" si="7"/>
        <v>0.18079201356904018</v>
      </c>
      <c r="W35" s="2">
        <v>8.4925684649497271</v>
      </c>
      <c r="X35" s="2">
        <f t="shared" si="8"/>
        <v>0.56743219142203072</v>
      </c>
      <c r="Y35" s="2">
        <v>4.6559572741389266</v>
      </c>
      <c r="Z35" s="2">
        <f t="shared" si="9"/>
        <v>0.31108845929658752</v>
      </c>
      <c r="AA35">
        <v>2016</v>
      </c>
      <c r="AB35">
        <v>0</v>
      </c>
      <c r="AC35">
        <v>35000000</v>
      </c>
    </row>
    <row r="36" spans="1:29" x14ac:dyDescent="0.2">
      <c r="A36">
        <v>317</v>
      </c>
      <c r="B36" t="s">
        <v>39</v>
      </c>
      <c r="C36">
        <v>11</v>
      </c>
      <c r="D36">
        <v>799</v>
      </c>
      <c r="E36">
        <v>2</v>
      </c>
      <c r="F36" s="2">
        <f t="shared" si="0"/>
        <v>0.22528160200250313</v>
      </c>
      <c r="G36" s="2">
        <v>1.5882237963378429</v>
      </c>
      <c r="H36" s="2">
        <f t="shared" si="1"/>
        <v>0.17889880058874325</v>
      </c>
      <c r="I36">
        <v>4</v>
      </c>
      <c r="J36" s="2">
        <f t="shared" si="2"/>
        <v>0.45056320400500627</v>
      </c>
      <c r="K36" s="2">
        <v>3.3740427177399401</v>
      </c>
      <c r="L36" s="2">
        <f t="shared" si="3"/>
        <v>0.38005487433866658</v>
      </c>
      <c r="M36">
        <v>21</v>
      </c>
      <c r="N36" s="2">
        <f t="shared" si="4"/>
        <v>2.3654568210262825</v>
      </c>
      <c r="O36">
        <v>16</v>
      </c>
      <c r="P36" s="2">
        <f t="shared" si="5"/>
        <v>1.8022528160200251</v>
      </c>
      <c r="Q36" s="3" t="s">
        <v>223</v>
      </c>
      <c r="R36" t="s">
        <v>28</v>
      </c>
      <c r="S36">
        <v>2</v>
      </c>
      <c r="T36" s="2">
        <f t="shared" si="6"/>
        <v>0.22528160200250313</v>
      </c>
      <c r="U36" s="2">
        <v>1.5882237963378429</v>
      </c>
      <c r="V36" s="2">
        <f t="shared" si="7"/>
        <v>0.17889880058874325</v>
      </c>
      <c r="W36" s="2">
        <v>8.0352390334010124</v>
      </c>
      <c r="X36" s="2">
        <f t="shared" si="8"/>
        <v>0.90509576095881239</v>
      </c>
      <c r="Y36" s="2">
        <v>3.5171586014330392</v>
      </c>
      <c r="Z36" s="2">
        <f t="shared" si="9"/>
        <v>0.39617556211385918</v>
      </c>
      <c r="AA36">
        <v>2017</v>
      </c>
      <c r="AB36">
        <v>1</v>
      </c>
      <c r="AC36">
        <v>35000000</v>
      </c>
    </row>
    <row r="37" spans="1:29" x14ac:dyDescent="0.2">
      <c r="A37">
        <v>317</v>
      </c>
      <c r="B37" t="s">
        <v>39</v>
      </c>
      <c r="C37">
        <v>25</v>
      </c>
      <c r="D37">
        <v>1647</v>
      </c>
      <c r="E37">
        <v>6</v>
      </c>
      <c r="F37" s="2">
        <f t="shared" si="0"/>
        <v>0.32786885245901637</v>
      </c>
      <c r="G37" s="2">
        <v>5.3435673750936994</v>
      </c>
      <c r="H37" s="2">
        <f t="shared" si="1"/>
        <v>0.29199821721823493</v>
      </c>
      <c r="I37">
        <v>4</v>
      </c>
      <c r="J37" s="2">
        <f t="shared" si="2"/>
        <v>0.21857923497267762</v>
      </c>
      <c r="K37" s="2">
        <v>6.4860365651547909</v>
      </c>
      <c r="L37" s="2">
        <f t="shared" si="3"/>
        <v>0.35442822760408693</v>
      </c>
      <c r="M37">
        <v>49</v>
      </c>
      <c r="N37" s="2">
        <f t="shared" si="4"/>
        <v>2.6775956284153009</v>
      </c>
      <c r="O37">
        <v>29</v>
      </c>
      <c r="P37" s="2">
        <f t="shared" si="5"/>
        <v>1.5846994535519126</v>
      </c>
      <c r="Q37" s="3" t="s">
        <v>223</v>
      </c>
      <c r="R37" t="s">
        <v>28</v>
      </c>
      <c r="S37">
        <v>6</v>
      </c>
      <c r="T37" s="2">
        <f t="shared" si="6"/>
        <v>0.32786885245901637</v>
      </c>
      <c r="U37" s="2">
        <v>5.3435673750936994</v>
      </c>
      <c r="V37" s="2">
        <f t="shared" si="7"/>
        <v>0.29199821721823493</v>
      </c>
      <c r="W37" s="2">
        <v>16.10010210797191</v>
      </c>
      <c r="X37" s="2">
        <f t="shared" si="8"/>
        <v>0.87978700043562352</v>
      </c>
      <c r="Y37" s="2">
        <v>8.2825761809945107</v>
      </c>
      <c r="Z37" s="2">
        <f t="shared" si="9"/>
        <v>0.45259979131117545</v>
      </c>
      <c r="AA37">
        <v>2018</v>
      </c>
      <c r="AB37">
        <v>1</v>
      </c>
      <c r="AC37">
        <v>25000000</v>
      </c>
    </row>
    <row r="38" spans="1:29" x14ac:dyDescent="0.2">
      <c r="A38">
        <v>318</v>
      </c>
      <c r="B38" t="s">
        <v>41</v>
      </c>
      <c r="C38">
        <v>31</v>
      </c>
      <c r="D38">
        <v>2476</v>
      </c>
      <c r="E38">
        <v>25</v>
      </c>
      <c r="F38" s="2">
        <f t="shared" si="0"/>
        <v>0.90872374798061395</v>
      </c>
      <c r="G38" s="2">
        <v>28.18976067006588</v>
      </c>
      <c r="H38" s="2">
        <f t="shared" si="1"/>
        <v>1.0246681988311508</v>
      </c>
      <c r="I38">
        <v>5</v>
      </c>
      <c r="J38" s="2">
        <f t="shared" si="2"/>
        <v>0.18174474959612277</v>
      </c>
      <c r="K38" s="2">
        <v>6.562241829931736</v>
      </c>
      <c r="L38" s="2">
        <f t="shared" si="3"/>
        <v>0.23853059963402917</v>
      </c>
      <c r="M38">
        <v>118</v>
      </c>
      <c r="N38" s="2">
        <f t="shared" si="4"/>
        <v>4.2891760904684979</v>
      </c>
      <c r="O38">
        <v>28</v>
      </c>
      <c r="P38" s="2">
        <f t="shared" si="5"/>
        <v>1.0177705977382876</v>
      </c>
      <c r="Q38" t="s">
        <v>222</v>
      </c>
      <c r="R38" t="s">
        <v>37</v>
      </c>
      <c r="S38">
        <v>22</v>
      </c>
      <c r="T38" s="2">
        <f t="shared" si="6"/>
        <v>0.7996768982229403</v>
      </c>
      <c r="U38" s="2">
        <v>25.158653903752569</v>
      </c>
      <c r="V38" s="2">
        <f t="shared" si="7"/>
        <v>0.9144906507826055</v>
      </c>
      <c r="W38" s="2">
        <v>33.502672214061022</v>
      </c>
      <c r="X38" s="2">
        <f t="shared" si="8"/>
        <v>1.2177869544691002</v>
      </c>
      <c r="Y38" s="2">
        <v>4.4308346267789602</v>
      </c>
      <c r="Z38" s="2">
        <f t="shared" si="9"/>
        <v>0.16105618594915444</v>
      </c>
      <c r="AA38">
        <v>2015</v>
      </c>
      <c r="AB38">
        <v>0</v>
      </c>
      <c r="AC38">
        <v>45000000</v>
      </c>
    </row>
    <row r="39" spans="1:29" x14ac:dyDescent="0.2">
      <c r="A39">
        <v>318</v>
      </c>
      <c r="B39" t="s">
        <v>41</v>
      </c>
      <c r="C39">
        <v>32</v>
      </c>
      <c r="D39">
        <v>2785</v>
      </c>
      <c r="E39">
        <v>31</v>
      </c>
      <c r="F39" s="2">
        <f t="shared" si="0"/>
        <v>1.0017953321364452</v>
      </c>
      <c r="G39" s="2">
        <v>31.144994247704741</v>
      </c>
      <c r="H39" s="2">
        <f t="shared" si="1"/>
        <v>1.0064809631215177</v>
      </c>
      <c r="I39">
        <v>2</v>
      </c>
      <c r="J39" s="2">
        <f t="shared" si="2"/>
        <v>6.4631956912028735E-2</v>
      </c>
      <c r="K39" s="2">
        <v>4.5015602223575124</v>
      </c>
      <c r="L39" s="2">
        <f t="shared" si="3"/>
        <v>0.14547232316415659</v>
      </c>
      <c r="M39">
        <v>116</v>
      </c>
      <c r="N39" s="2">
        <f t="shared" si="4"/>
        <v>3.748653500897666</v>
      </c>
      <c r="O39">
        <v>26</v>
      </c>
      <c r="P39" s="2">
        <f t="shared" si="5"/>
        <v>0.84021543985637337</v>
      </c>
      <c r="Q39" t="s">
        <v>222</v>
      </c>
      <c r="R39" t="s">
        <v>37</v>
      </c>
      <c r="S39">
        <v>29</v>
      </c>
      <c r="T39" s="2">
        <f t="shared" si="6"/>
        <v>0.93716337522441651</v>
      </c>
      <c r="U39" s="2">
        <v>28.11388914659619</v>
      </c>
      <c r="V39" s="2">
        <f t="shared" si="7"/>
        <v>0.90852783597617859</v>
      </c>
      <c r="W39" s="2">
        <v>32.586529176682227</v>
      </c>
      <c r="X39" s="2">
        <f t="shared" si="8"/>
        <v>1.0530655748299462</v>
      </c>
      <c r="Y39" s="2">
        <v>3.3518195729702711</v>
      </c>
      <c r="Z39" s="2">
        <f t="shared" si="9"/>
        <v>0.10831732910855454</v>
      </c>
      <c r="AA39">
        <v>2016</v>
      </c>
      <c r="AB39">
        <v>0</v>
      </c>
      <c r="AC39">
        <v>65000000</v>
      </c>
    </row>
    <row r="40" spans="1:29" x14ac:dyDescent="0.2">
      <c r="A40">
        <v>318</v>
      </c>
      <c r="B40" t="s">
        <v>41</v>
      </c>
      <c r="C40">
        <v>13</v>
      </c>
      <c r="D40">
        <v>1056</v>
      </c>
      <c r="E40">
        <v>10</v>
      </c>
      <c r="F40" s="2">
        <f t="shared" si="0"/>
        <v>0.85227272727272729</v>
      </c>
      <c r="G40" s="2">
        <v>9.1743596121668816</v>
      </c>
      <c r="H40" s="2">
        <f t="shared" si="1"/>
        <v>0.78190564876422286</v>
      </c>
      <c r="I40">
        <v>4</v>
      </c>
      <c r="J40" s="2">
        <f t="shared" si="2"/>
        <v>0.34090909090909094</v>
      </c>
      <c r="K40" s="2">
        <v>1.264147974550724</v>
      </c>
      <c r="L40" s="2">
        <f t="shared" si="3"/>
        <v>0.10773988419466399</v>
      </c>
      <c r="M40">
        <v>31</v>
      </c>
      <c r="N40" s="2">
        <f t="shared" si="4"/>
        <v>2.6420454545454546</v>
      </c>
      <c r="O40">
        <v>13</v>
      </c>
      <c r="P40" s="2">
        <f t="shared" si="5"/>
        <v>1.1079545454545454</v>
      </c>
      <c r="Q40" t="s">
        <v>222</v>
      </c>
      <c r="R40" t="s">
        <v>28</v>
      </c>
      <c r="S40">
        <v>9</v>
      </c>
      <c r="T40" s="2">
        <f t="shared" si="6"/>
        <v>0.76704545454545447</v>
      </c>
      <c r="U40" s="2">
        <v>7.6520272605121136</v>
      </c>
      <c r="V40" s="2">
        <f t="shared" si="7"/>
        <v>0.65216141424819152</v>
      </c>
      <c r="W40" s="2">
        <v>10.67103707231581</v>
      </c>
      <c r="X40" s="2">
        <f t="shared" si="8"/>
        <v>0.90946338684509753</v>
      </c>
      <c r="Y40" s="2">
        <v>2.366456007584929</v>
      </c>
      <c r="Z40" s="2">
        <f t="shared" si="9"/>
        <v>0.20168659155553373</v>
      </c>
      <c r="AA40">
        <v>2017</v>
      </c>
      <c r="AB40">
        <v>1</v>
      </c>
      <c r="AC40">
        <v>75000000</v>
      </c>
    </row>
    <row r="41" spans="1:29" x14ac:dyDescent="0.2">
      <c r="A41">
        <v>318</v>
      </c>
      <c r="B41" t="s">
        <v>41</v>
      </c>
      <c r="C41">
        <v>36</v>
      </c>
      <c r="D41">
        <v>2740</v>
      </c>
      <c r="E41">
        <v>22</v>
      </c>
      <c r="F41" s="2">
        <f t="shared" si="0"/>
        <v>0.72262773722627738</v>
      </c>
      <c r="G41" s="2">
        <v>23.549973130226139</v>
      </c>
      <c r="H41" s="2">
        <f t="shared" si="1"/>
        <v>0.77353926340158841</v>
      </c>
      <c r="I41">
        <v>5</v>
      </c>
      <c r="J41" s="2">
        <f t="shared" si="2"/>
        <v>0.16423357664233576</v>
      </c>
      <c r="K41" s="2">
        <v>4.9898480754345664</v>
      </c>
      <c r="L41" s="2">
        <f t="shared" si="3"/>
        <v>0.1639001192660989</v>
      </c>
      <c r="M41">
        <v>94</v>
      </c>
      <c r="N41" s="2">
        <f t="shared" si="4"/>
        <v>3.0875912408759127</v>
      </c>
      <c r="O41">
        <v>33</v>
      </c>
      <c r="P41" s="2">
        <f t="shared" si="5"/>
        <v>1.083941605839416</v>
      </c>
      <c r="Q41" t="s">
        <v>222</v>
      </c>
      <c r="R41" t="s">
        <v>28</v>
      </c>
      <c r="S41">
        <v>18</v>
      </c>
      <c r="T41" s="2">
        <f t="shared" si="6"/>
        <v>0.59124087591240881</v>
      </c>
      <c r="U41" s="2">
        <v>19.744131192564961</v>
      </c>
      <c r="V41" s="2">
        <f t="shared" si="7"/>
        <v>0.64852985669008989</v>
      </c>
      <c r="W41" s="2">
        <v>26.582433130592111</v>
      </c>
      <c r="X41" s="2">
        <f t="shared" si="8"/>
        <v>0.87314561377857303</v>
      </c>
      <c r="Y41" s="2">
        <v>6.4836399042978883</v>
      </c>
      <c r="Z41" s="2">
        <f t="shared" si="9"/>
        <v>0.21296627422876274</v>
      </c>
      <c r="AA41">
        <v>2018</v>
      </c>
      <c r="AB41">
        <v>1</v>
      </c>
      <c r="AC41">
        <v>70000000</v>
      </c>
    </row>
    <row r="42" spans="1:29" x14ac:dyDescent="0.2">
      <c r="A42">
        <v>329</v>
      </c>
      <c r="B42" t="s">
        <v>42</v>
      </c>
      <c r="C42">
        <v>20</v>
      </c>
      <c r="D42">
        <v>1212</v>
      </c>
      <c r="E42">
        <v>5</v>
      </c>
      <c r="F42" s="2">
        <f t="shared" si="0"/>
        <v>0.37128712871287123</v>
      </c>
      <c r="G42" s="2">
        <v>3.42938395217061</v>
      </c>
      <c r="H42" s="2">
        <f t="shared" si="1"/>
        <v>0.25465722417108488</v>
      </c>
      <c r="I42">
        <v>1</v>
      </c>
      <c r="J42" s="2">
        <f t="shared" si="2"/>
        <v>7.4257425742574254E-2</v>
      </c>
      <c r="K42" s="2">
        <v>4.0224186889827251</v>
      </c>
      <c r="L42" s="2">
        <f t="shared" si="3"/>
        <v>0.29869445710267761</v>
      </c>
      <c r="M42">
        <v>20</v>
      </c>
      <c r="N42" s="2">
        <f t="shared" si="4"/>
        <v>1.4851485148514849</v>
      </c>
      <c r="O42">
        <v>34</v>
      </c>
      <c r="P42" s="2">
        <f t="shared" si="5"/>
        <v>2.5247524752475248</v>
      </c>
      <c r="Q42" s="3" t="s">
        <v>222</v>
      </c>
      <c r="R42" t="s">
        <v>30</v>
      </c>
      <c r="S42">
        <v>5</v>
      </c>
      <c r="T42" s="2">
        <f t="shared" si="6"/>
        <v>0.37128712871287123</v>
      </c>
      <c r="U42" s="2">
        <v>3.42938395217061</v>
      </c>
      <c r="V42" s="2">
        <f t="shared" si="7"/>
        <v>0.25465722417108488</v>
      </c>
      <c r="W42" s="2">
        <v>12.140639137476681</v>
      </c>
      <c r="X42" s="2">
        <f t="shared" si="8"/>
        <v>0.90153260921856537</v>
      </c>
      <c r="Y42" s="2">
        <v>6.7335376814007759</v>
      </c>
      <c r="Z42" s="2">
        <f t="shared" si="9"/>
        <v>0.50001517436144371</v>
      </c>
      <c r="AA42">
        <v>2017</v>
      </c>
      <c r="AB42">
        <v>0</v>
      </c>
      <c r="AC42">
        <v>4000000</v>
      </c>
    </row>
    <row r="43" spans="1:29" x14ac:dyDescent="0.2">
      <c r="A43">
        <v>329</v>
      </c>
      <c r="B43" t="s">
        <v>42</v>
      </c>
      <c r="C43">
        <v>25</v>
      </c>
      <c r="D43">
        <v>1156</v>
      </c>
      <c r="E43">
        <v>6</v>
      </c>
      <c r="F43" s="2">
        <f t="shared" si="0"/>
        <v>0.4671280276816609</v>
      </c>
      <c r="G43" s="2">
        <v>3.764778103679419</v>
      </c>
      <c r="H43" s="2">
        <f t="shared" si="1"/>
        <v>0.29310556170514507</v>
      </c>
      <c r="I43">
        <v>3</v>
      </c>
      <c r="J43" s="2">
        <f t="shared" si="2"/>
        <v>0.23356401384083045</v>
      </c>
      <c r="K43" s="2">
        <v>2.6179945543408389</v>
      </c>
      <c r="L43" s="2">
        <f t="shared" si="3"/>
        <v>0.2038231054417608</v>
      </c>
      <c r="M43">
        <v>26</v>
      </c>
      <c r="N43" s="2">
        <f t="shared" si="4"/>
        <v>2.0242214532871974</v>
      </c>
      <c r="O43">
        <v>21</v>
      </c>
      <c r="P43" s="2">
        <f t="shared" si="5"/>
        <v>1.6349480968858132</v>
      </c>
      <c r="Q43" s="3" t="s">
        <v>222</v>
      </c>
      <c r="R43" t="s">
        <v>30</v>
      </c>
      <c r="S43">
        <v>6</v>
      </c>
      <c r="T43" s="2">
        <f t="shared" si="6"/>
        <v>0.4671280276816609</v>
      </c>
      <c r="U43" s="2">
        <v>3.764778103679419</v>
      </c>
      <c r="V43" s="2">
        <f t="shared" si="7"/>
        <v>0.29310556170514507</v>
      </c>
      <c r="W43" s="2">
        <v>12.25953153520822</v>
      </c>
      <c r="X43" s="2">
        <f t="shared" si="8"/>
        <v>0.95446179772382334</v>
      </c>
      <c r="Y43" s="2">
        <v>7.4200788754969844</v>
      </c>
      <c r="Z43" s="2">
        <f t="shared" si="9"/>
        <v>0.57768780172554379</v>
      </c>
      <c r="AA43">
        <v>2018</v>
      </c>
      <c r="AB43">
        <v>0</v>
      </c>
      <c r="AC43">
        <v>4000000</v>
      </c>
    </row>
    <row r="44" spans="1:29" x14ac:dyDescent="0.2">
      <c r="A44">
        <v>329</v>
      </c>
      <c r="B44" t="s">
        <v>42</v>
      </c>
      <c r="C44">
        <v>21</v>
      </c>
      <c r="D44">
        <v>1466</v>
      </c>
      <c r="E44">
        <v>3</v>
      </c>
      <c r="F44" s="2">
        <f t="shared" si="0"/>
        <v>0.18417462482946792</v>
      </c>
      <c r="G44" s="2">
        <v>2.819158166646957</v>
      </c>
      <c r="H44" s="2">
        <f t="shared" si="1"/>
        <v>0.17307246589237799</v>
      </c>
      <c r="I44">
        <v>3</v>
      </c>
      <c r="J44" s="2">
        <f t="shared" si="2"/>
        <v>0.18417462482946792</v>
      </c>
      <c r="K44" s="2">
        <v>3.1816174052655701</v>
      </c>
      <c r="L44" s="2">
        <f t="shared" si="3"/>
        <v>0.19532439732189719</v>
      </c>
      <c r="M44">
        <v>24</v>
      </c>
      <c r="N44" s="2">
        <f t="shared" si="4"/>
        <v>1.4733969986357434</v>
      </c>
      <c r="O44">
        <v>35</v>
      </c>
      <c r="P44" s="2">
        <f t="shared" si="5"/>
        <v>2.1487039563437924</v>
      </c>
      <c r="Q44" s="3" t="s">
        <v>222</v>
      </c>
      <c r="R44" t="s">
        <v>43</v>
      </c>
      <c r="S44">
        <v>3</v>
      </c>
      <c r="T44" s="2">
        <f t="shared" si="6"/>
        <v>0.18417462482946792</v>
      </c>
      <c r="U44" s="2">
        <v>2.819158166646957</v>
      </c>
      <c r="V44" s="2">
        <f t="shared" si="7"/>
        <v>0.17307246589237799</v>
      </c>
      <c r="W44" s="2">
        <v>7.4049217347055674</v>
      </c>
      <c r="X44" s="2">
        <f t="shared" si="8"/>
        <v>0.45459956079365693</v>
      </c>
      <c r="Y44" s="2">
        <v>3.691872706636786</v>
      </c>
      <c r="Z44" s="2">
        <f t="shared" si="9"/>
        <v>0.22664975688766079</v>
      </c>
      <c r="AA44">
        <v>2019</v>
      </c>
      <c r="AB44">
        <v>1</v>
      </c>
      <c r="AC44">
        <v>3200000</v>
      </c>
    </row>
    <row r="45" spans="1:29" x14ac:dyDescent="0.2">
      <c r="A45">
        <v>329</v>
      </c>
      <c r="B45" t="s">
        <v>42</v>
      </c>
      <c r="C45">
        <v>29</v>
      </c>
      <c r="D45">
        <v>2195</v>
      </c>
      <c r="E45">
        <v>2</v>
      </c>
      <c r="F45" s="2">
        <f t="shared" si="0"/>
        <v>8.2004555808656038E-2</v>
      </c>
      <c r="G45" s="2">
        <v>2.861673459410667</v>
      </c>
      <c r="H45" s="2">
        <f t="shared" si="1"/>
        <v>0.11733513045419591</v>
      </c>
      <c r="I45">
        <v>6</v>
      </c>
      <c r="J45" s="2">
        <f t="shared" si="2"/>
        <v>0.24601366742596811</v>
      </c>
      <c r="K45" s="2">
        <v>5.5213987678289413</v>
      </c>
      <c r="L45" s="2">
        <f t="shared" si="3"/>
        <v>0.22638992669913655</v>
      </c>
      <c r="M45">
        <v>21</v>
      </c>
      <c r="N45" s="2">
        <f t="shared" si="4"/>
        <v>0.86104783599088841</v>
      </c>
      <c r="O45">
        <v>35</v>
      </c>
      <c r="P45" s="2">
        <f t="shared" si="5"/>
        <v>1.4350797266514808</v>
      </c>
      <c r="Q45" s="3" t="s">
        <v>222</v>
      </c>
      <c r="R45" t="s">
        <v>43</v>
      </c>
      <c r="S45">
        <v>2</v>
      </c>
      <c r="T45" s="2">
        <f t="shared" si="6"/>
        <v>8.2004555808656038E-2</v>
      </c>
      <c r="U45" s="2">
        <v>2.861673459410667</v>
      </c>
      <c r="V45" s="2">
        <f t="shared" si="7"/>
        <v>0.11733513045419591</v>
      </c>
      <c r="W45" s="2">
        <v>12.207909174263481</v>
      </c>
      <c r="X45" s="2">
        <f t="shared" si="8"/>
        <v>0.50055208459394684</v>
      </c>
      <c r="Y45" s="2">
        <v>5.99220235273242</v>
      </c>
      <c r="Z45" s="2">
        <f t="shared" si="9"/>
        <v>0.24569394612570289</v>
      </c>
      <c r="AA45">
        <v>2020</v>
      </c>
      <c r="AB45">
        <v>1</v>
      </c>
      <c r="AC45">
        <v>3000000</v>
      </c>
    </row>
    <row r="46" spans="1:29" x14ac:dyDescent="0.2">
      <c r="A46">
        <v>332</v>
      </c>
      <c r="B46" t="s">
        <v>44</v>
      </c>
      <c r="C46">
        <v>9</v>
      </c>
      <c r="D46">
        <v>706</v>
      </c>
      <c r="E46">
        <v>1</v>
      </c>
      <c r="F46" s="2">
        <f t="shared" si="0"/>
        <v>0.12747875354107649</v>
      </c>
      <c r="G46" s="2">
        <v>0.30178050138056278</v>
      </c>
      <c r="H46" s="2">
        <f t="shared" si="1"/>
        <v>3.8470602158995254E-2</v>
      </c>
      <c r="I46">
        <v>0</v>
      </c>
      <c r="J46" s="2">
        <f t="shared" si="2"/>
        <v>0</v>
      </c>
      <c r="K46" s="2">
        <v>1.5664199367165559E-2</v>
      </c>
      <c r="L46" s="2">
        <f t="shared" si="3"/>
        <v>1.9968526105451846E-3</v>
      </c>
      <c r="M46">
        <v>4</v>
      </c>
      <c r="N46" s="2">
        <f t="shared" si="4"/>
        <v>0.50991501416430596</v>
      </c>
      <c r="O46">
        <v>1</v>
      </c>
      <c r="P46" s="2">
        <f t="shared" si="5"/>
        <v>0.12747875354107649</v>
      </c>
      <c r="Q46" t="s">
        <v>224</v>
      </c>
      <c r="R46" t="s">
        <v>31</v>
      </c>
      <c r="S46">
        <v>1</v>
      </c>
      <c r="T46" s="2">
        <f t="shared" si="6"/>
        <v>0.12747875354107649</v>
      </c>
      <c r="U46" s="2">
        <v>0.30178050138056278</v>
      </c>
      <c r="V46" s="2">
        <f t="shared" si="7"/>
        <v>3.8470602158995254E-2</v>
      </c>
      <c r="W46" s="2">
        <v>1.5552871152758601</v>
      </c>
      <c r="X46" s="2">
        <f t="shared" si="8"/>
        <v>0.19826606285386317</v>
      </c>
      <c r="Y46" s="2">
        <v>1.539623014628887</v>
      </c>
      <c r="Z46" s="2">
        <f t="shared" si="9"/>
        <v>0.19626922282804507</v>
      </c>
      <c r="AA46">
        <v>2019</v>
      </c>
      <c r="AB46">
        <v>0</v>
      </c>
      <c r="AC46">
        <v>32000000</v>
      </c>
    </row>
    <row r="47" spans="1:29" x14ac:dyDescent="0.2">
      <c r="A47">
        <v>332</v>
      </c>
      <c r="B47" t="s">
        <v>44</v>
      </c>
      <c r="C47">
        <v>10</v>
      </c>
      <c r="D47">
        <v>701</v>
      </c>
      <c r="E47">
        <v>1</v>
      </c>
      <c r="F47" s="2">
        <f t="shared" si="0"/>
        <v>0.12838801711840228</v>
      </c>
      <c r="G47" s="2">
        <v>0.78447569906711578</v>
      </c>
      <c r="H47" s="2">
        <f t="shared" si="1"/>
        <v>0.10071727948079946</v>
      </c>
      <c r="I47">
        <v>2</v>
      </c>
      <c r="J47" s="2">
        <f t="shared" si="2"/>
        <v>0.25677603423680456</v>
      </c>
      <c r="K47" s="2">
        <v>1.1802749931812291</v>
      </c>
      <c r="L47" s="2">
        <f t="shared" si="3"/>
        <v>0.15153316602897376</v>
      </c>
      <c r="M47">
        <v>5</v>
      </c>
      <c r="N47" s="2">
        <f t="shared" si="4"/>
        <v>0.64194008559201143</v>
      </c>
      <c r="O47">
        <v>3</v>
      </c>
      <c r="P47" s="2">
        <f t="shared" si="5"/>
        <v>0.38516405135520687</v>
      </c>
      <c r="Q47" t="s">
        <v>224</v>
      </c>
      <c r="R47" t="s">
        <v>31</v>
      </c>
      <c r="S47">
        <v>1</v>
      </c>
      <c r="T47" s="2">
        <f t="shared" si="6"/>
        <v>0.12838801711840228</v>
      </c>
      <c r="U47" s="2">
        <v>0.78447569906711578</v>
      </c>
      <c r="V47" s="2">
        <f t="shared" si="7"/>
        <v>0.10071727948079946</v>
      </c>
      <c r="W47" s="2">
        <v>4.383123978972435</v>
      </c>
      <c r="X47" s="2">
        <f t="shared" si="8"/>
        <v>0.56274059644439245</v>
      </c>
      <c r="Y47" s="2">
        <v>4.383123978972435</v>
      </c>
      <c r="Z47" s="2">
        <f t="shared" si="9"/>
        <v>0.56274059644439245</v>
      </c>
      <c r="AA47">
        <v>2020</v>
      </c>
      <c r="AB47">
        <v>0</v>
      </c>
      <c r="AC47">
        <v>18000000</v>
      </c>
    </row>
    <row r="48" spans="1:29" x14ac:dyDescent="0.2">
      <c r="A48">
        <v>332</v>
      </c>
      <c r="B48" t="s">
        <v>44</v>
      </c>
      <c r="C48">
        <v>31</v>
      </c>
      <c r="D48">
        <v>2790</v>
      </c>
      <c r="E48">
        <v>3</v>
      </c>
      <c r="F48" s="2">
        <f t="shared" si="0"/>
        <v>9.6774193548387094E-2</v>
      </c>
      <c r="G48" s="2">
        <v>2.7207673545926809</v>
      </c>
      <c r="H48" s="2">
        <f t="shared" si="1"/>
        <v>8.7766688857828415E-2</v>
      </c>
      <c r="I48">
        <v>3</v>
      </c>
      <c r="J48" s="2">
        <f t="shared" si="2"/>
        <v>9.6774193548387094E-2</v>
      </c>
      <c r="K48" s="2">
        <v>2.0788285415619612</v>
      </c>
      <c r="L48" s="2">
        <f t="shared" si="3"/>
        <v>6.7058985211676164E-2</v>
      </c>
      <c r="M48">
        <v>34</v>
      </c>
      <c r="N48" s="2">
        <f t="shared" si="4"/>
        <v>1.0967741935483872</v>
      </c>
      <c r="O48">
        <v>12</v>
      </c>
      <c r="P48" s="2">
        <f t="shared" si="5"/>
        <v>0.38709677419354838</v>
      </c>
      <c r="Q48" t="s">
        <v>224</v>
      </c>
      <c r="R48" t="s">
        <v>31</v>
      </c>
      <c r="S48">
        <v>3</v>
      </c>
      <c r="T48" s="2">
        <f t="shared" si="6"/>
        <v>9.6774193548387094E-2</v>
      </c>
      <c r="U48" s="2">
        <v>2.7207673545926809</v>
      </c>
      <c r="V48" s="2">
        <f t="shared" si="7"/>
        <v>8.7766688857828415E-2</v>
      </c>
      <c r="W48" s="2">
        <v>15.50367119908333</v>
      </c>
      <c r="X48" s="2">
        <f t="shared" si="8"/>
        <v>0.50011842577688159</v>
      </c>
      <c r="Y48" s="2">
        <v>13.809814861044289</v>
      </c>
      <c r="Z48" s="2">
        <f t="shared" si="9"/>
        <v>0.44547789874336419</v>
      </c>
      <c r="AA48">
        <v>2021</v>
      </c>
      <c r="AB48">
        <v>1</v>
      </c>
      <c r="AC48">
        <v>18000000</v>
      </c>
    </row>
    <row r="49" spans="1:29" x14ac:dyDescent="0.2">
      <c r="A49">
        <v>332</v>
      </c>
      <c r="B49" t="s">
        <v>44</v>
      </c>
      <c r="C49">
        <v>14</v>
      </c>
      <c r="D49">
        <v>1095</v>
      </c>
      <c r="E49">
        <v>1</v>
      </c>
      <c r="F49" s="2">
        <f t="shared" si="0"/>
        <v>8.2191780821917804E-2</v>
      </c>
      <c r="G49" s="2">
        <v>0.64593701530247927</v>
      </c>
      <c r="H49" s="2">
        <f t="shared" si="1"/>
        <v>5.3090713586505141E-2</v>
      </c>
      <c r="I49">
        <v>0</v>
      </c>
      <c r="J49" s="2">
        <f t="shared" si="2"/>
        <v>0</v>
      </c>
      <c r="K49" s="2">
        <v>0.32370864972472191</v>
      </c>
      <c r="L49" s="2">
        <f t="shared" si="3"/>
        <v>2.6606190388333308E-2</v>
      </c>
      <c r="M49">
        <v>5</v>
      </c>
      <c r="N49" s="2">
        <f t="shared" si="4"/>
        <v>0.41095890410958902</v>
      </c>
      <c r="O49">
        <v>4</v>
      </c>
      <c r="P49" s="2">
        <f t="shared" si="5"/>
        <v>0.32876712328767121</v>
      </c>
      <c r="Q49" t="s">
        <v>224</v>
      </c>
      <c r="R49" t="s">
        <v>31</v>
      </c>
      <c r="S49">
        <v>1</v>
      </c>
      <c r="T49" s="2">
        <f t="shared" si="6"/>
        <v>8.2191780821917804E-2</v>
      </c>
      <c r="U49" s="2">
        <v>0.64593701530247927</v>
      </c>
      <c r="V49" s="2">
        <f t="shared" si="7"/>
        <v>5.3090713586505141E-2</v>
      </c>
      <c r="W49" s="2">
        <v>5.5423349421471357</v>
      </c>
      <c r="X49" s="2">
        <f t="shared" si="8"/>
        <v>0.4555343788066139</v>
      </c>
      <c r="Y49" s="2">
        <v>5.465866832062602</v>
      </c>
      <c r="Z49" s="2">
        <f t="shared" si="9"/>
        <v>0.44924932866267958</v>
      </c>
      <c r="AA49">
        <v>2022</v>
      </c>
      <c r="AB49">
        <v>1</v>
      </c>
      <c r="AC49">
        <v>12000000</v>
      </c>
    </row>
    <row r="50" spans="1:29" x14ac:dyDescent="0.2">
      <c r="A50">
        <v>337</v>
      </c>
      <c r="B50" t="s">
        <v>45</v>
      </c>
      <c r="C50">
        <v>13</v>
      </c>
      <c r="D50">
        <v>607</v>
      </c>
      <c r="E50">
        <v>3</v>
      </c>
      <c r="F50" s="2">
        <f t="shared" si="0"/>
        <v>0.44481054365733108</v>
      </c>
      <c r="G50" s="2">
        <v>2.0758399739861488</v>
      </c>
      <c r="H50" s="2">
        <f t="shared" si="1"/>
        <v>0.3077851691247997</v>
      </c>
      <c r="I50">
        <v>0</v>
      </c>
      <c r="J50" s="2">
        <f t="shared" si="2"/>
        <v>0</v>
      </c>
      <c r="K50" s="2">
        <v>0.80946867167949677</v>
      </c>
      <c r="L50" s="2">
        <f t="shared" si="3"/>
        <v>0.12002006664111155</v>
      </c>
      <c r="M50">
        <v>12</v>
      </c>
      <c r="N50" s="2">
        <f t="shared" si="4"/>
        <v>1.7792421746293243</v>
      </c>
      <c r="O50">
        <v>5</v>
      </c>
      <c r="P50" s="2">
        <f t="shared" si="5"/>
        <v>0.74135090609555188</v>
      </c>
      <c r="Q50" t="s">
        <v>222</v>
      </c>
      <c r="R50" t="s">
        <v>46</v>
      </c>
      <c r="S50">
        <v>3</v>
      </c>
      <c r="T50" s="2">
        <f t="shared" si="6"/>
        <v>0.44481054365733108</v>
      </c>
      <c r="U50" s="2">
        <v>2.0758399739861488</v>
      </c>
      <c r="V50" s="2">
        <f t="shared" si="7"/>
        <v>0.3077851691247997</v>
      </c>
      <c r="W50" s="2">
        <v>3.1765983738005161</v>
      </c>
      <c r="X50" s="2">
        <f t="shared" si="8"/>
        <v>0.47099481654373387</v>
      </c>
      <c r="Y50" s="2">
        <v>1.106384702026844</v>
      </c>
      <c r="Z50" s="2">
        <f t="shared" si="9"/>
        <v>0.16404386026757159</v>
      </c>
      <c r="AA50">
        <v>2014</v>
      </c>
      <c r="AB50">
        <v>0</v>
      </c>
      <c r="AC50">
        <v>4000000</v>
      </c>
    </row>
    <row r="51" spans="1:29" x14ac:dyDescent="0.2">
      <c r="A51">
        <v>337</v>
      </c>
      <c r="B51" t="s">
        <v>45</v>
      </c>
      <c r="C51">
        <v>33</v>
      </c>
      <c r="D51">
        <v>2315</v>
      </c>
      <c r="E51">
        <v>8</v>
      </c>
      <c r="F51" s="2">
        <f t="shared" si="0"/>
        <v>0.31101511879049676</v>
      </c>
      <c r="G51" s="2">
        <v>6.5934366658329964</v>
      </c>
      <c r="H51" s="2">
        <f t="shared" si="1"/>
        <v>0.25633231098270831</v>
      </c>
      <c r="I51">
        <v>6</v>
      </c>
      <c r="J51" s="2">
        <f t="shared" si="2"/>
        <v>0.23326133909287258</v>
      </c>
      <c r="K51" s="2">
        <v>4.8276412673294544</v>
      </c>
      <c r="L51" s="2">
        <f t="shared" si="3"/>
        <v>0.18768367777954684</v>
      </c>
      <c r="M51">
        <v>68</v>
      </c>
      <c r="N51" s="2">
        <f t="shared" si="4"/>
        <v>2.6436285097192225</v>
      </c>
      <c r="O51">
        <v>28</v>
      </c>
      <c r="P51" s="2">
        <f t="shared" si="5"/>
        <v>1.0885529157667386</v>
      </c>
      <c r="Q51" t="s">
        <v>222</v>
      </c>
      <c r="R51" t="s">
        <v>46</v>
      </c>
      <c r="S51">
        <v>8</v>
      </c>
      <c r="T51" s="2">
        <f t="shared" si="6"/>
        <v>0.31101511879049676</v>
      </c>
      <c r="U51" s="2">
        <v>6.5934366658329964</v>
      </c>
      <c r="V51" s="2">
        <f t="shared" si="7"/>
        <v>0.25633231098270831</v>
      </c>
      <c r="W51" s="2">
        <v>13.50855899974704</v>
      </c>
      <c r="X51" s="2">
        <f t="shared" si="8"/>
        <v>0.52517076024934495</v>
      </c>
      <c r="Y51" s="2">
        <v>3.0822202302515511</v>
      </c>
      <c r="Z51" s="2">
        <f t="shared" si="9"/>
        <v>0.11982713638126981</v>
      </c>
      <c r="AA51">
        <v>2015</v>
      </c>
      <c r="AB51">
        <v>0</v>
      </c>
      <c r="AC51">
        <v>30000000</v>
      </c>
    </row>
    <row r="52" spans="1:29" x14ac:dyDescent="0.2">
      <c r="A52">
        <v>337</v>
      </c>
      <c r="B52" t="s">
        <v>45</v>
      </c>
      <c r="C52">
        <v>26</v>
      </c>
      <c r="D52">
        <v>1793</v>
      </c>
      <c r="E52">
        <v>5</v>
      </c>
      <c r="F52" s="2">
        <f t="shared" si="0"/>
        <v>0.25097601784718349</v>
      </c>
      <c r="G52" s="2">
        <v>5.8207280058413744</v>
      </c>
      <c r="H52" s="2">
        <f t="shared" si="1"/>
        <v>0.29217262717552911</v>
      </c>
      <c r="I52">
        <v>3</v>
      </c>
      <c r="J52" s="2">
        <f t="shared" si="2"/>
        <v>0.15058561070831011</v>
      </c>
      <c r="K52" s="2">
        <v>5.7045443337410688</v>
      </c>
      <c r="L52" s="2">
        <f t="shared" si="3"/>
        <v>0.28634076410300957</v>
      </c>
      <c r="M52">
        <v>33</v>
      </c>
      <c r="N52" s="2">
        <f t="shared" si="4"/>
        <v>1.6564417177914113</v>
      </c>
      <c r="O52">
        <v>35</v>
      </c>
      <c r="P52" s="2">
        <f t="shared" si="5"/>
        <v>1.7568321249302843</v>
      </c>
      <c r="Q52" t="s">
        <v>222</v>
      </c>
      <c r="R52" t="s">
        <v>38</v>
      </c>
      <c r="S52">
        <v>5</v>
      </c>
      <c r="T52" s="2">
        <f t="shared" si="6"/>
        <v>0.25097601784718349</v>
      </c>
      <c r="U52" s="2">
        <v>5.8207280058413744</v>
      </c>
      <c r="V52" s="2">
        <f t="shared" si="7"/>
        <v>0.29217262717552911</v>
      </c>
      <c r="W52" s="2">
        <v>14.744566721841689</v>
      </c>
      <c r="X52" s="2">
        <f t="shared" si="8"/>
        <v>0.74010652814598554</v>
      </c>
      <c r="Y52" s="2">
        <v>6.4931414760649204</v>
      </c>
      <c r="Z52" s="2">
        <f t="shared" si="9"/>
        <v>0.32592455819623134</v>
      </c>
      <c r="AA52">
        <v>2016</v>
      </c>
      <c r="AB52">
        <v>1</v>
      </c>
      <c r="AC52">
        <v>35000000</v>
      </c>
    </row>
    <row r="53" spans="1:29" x14ac:dyDescent="0.2">
      <c r="A53">
        <v>337</v>
      </c>
      <c r="B53" t="s">
        <v>45</v>
      </c>
      <c r="C53">
        <v>32</v>
      </c>
      <c r="D53">
        <v>2421</v>
      </c>
      <c r="E53">
        <v>10</v>
      </c>
      <c r="F53" s="2">
        <f t="shared" si="0"/>
        <v>0.37174721189591076</v>
      </c>
      <c r="G53" s="2">
        <v>6.2410708712413907</v>
      </c>
      <c r="H53" s="2">
        <f t="shared" si="1"/>
        <v>0.23201006956287695</v>
      </c>
      <c r="I53">
        <v>15</v>
      </c>
      <c r="J53" s="2">
        <f t="shared" si="2"/>
        <v>0.55762081784386619</v>
      </c>
      <c r="K53" s="2">
        <v>9.0488794911652803</v>
      </c>
      <c r="L53" s="2">
        <f t="shared" si="3"/>
        <v>0.33638957216227811</v>
      </c>
      <c r="M53">
        <v>56</v>
      </c>
      <c r="N53" s="2">
        <f t="shared" si="4"/>
        <v>2.0817843866171004</v>
      </c>
      <c r="O53">
        <v>58</v>
      </c>
      <c r="P53" s="2">
        <f t="shared" si="5"/>
        <v>2.1561338289962824</v>
      </c>
      <c r="Q53" t="s">
        <v>222</v>
      </c>
      <c r="R53" t="s">
        <v>38</v>
      </c>
      <c r="S53">
        <v>10</v>
      </c>
      <c r="T53" s="2">
        <f t="shared" si="6"/>
        <v>0.37174721189591076</v>
      </c>
      <c r="U53" s="2">
        <v>6.2410708712413907</v>
      </c>
      <c r="V53" s="2">
        <f t="shared" si="7"/>
        <v>0.23201006956287695</v>
      </c>
      <c r="W53" s="2">
        <v>19.684003014117479</v>
      </c>
      <c r="X53" s="2">
        <f t="shared" si="8"/>
        <v>0.73174732394488773</v>
      </c>
      <c r="Y53" s="2">
        <v>11.898684792220591</v>
      </c>
      <c r="Z53" s="2">
        <f t="shared" si="9"/>
        <v>0.44233028967362797</v>
      </c>
      <c r="AA53">
        <v>2017</v>
      </c>
      <c r="AB53">
        <v>1</v>
      </c>
      <c r="AC53">
        <v>90000000</v>
      </c>
    </row>
    <row r="54" spans="1:29" x14ac:dyDescent="0.2">
      <c r="A54">
        <v>342</v>
      </c>
      <c r="B54" t="s">
        <v>47</v>
      </c>
      <c r="C54">
        <v>23</v>
      </c>
      <c r="D54">
        <v>1570</v>
      </c>
      <c r="E54">
        <v>1</v>
      </c>
      <c r="F54" s="2">
        <f t="shared" si="0"/>
        <v>5.7324840764331204E-2</v>
      </c>
      <c r="G54" s="2">
        <v>0.8892339039593935</v>
      </c>
      <c r="H54" s="2">
        <f t="shared" si="1"/>
        <v>5.0975191946716826E-2</v>
      </c>
      <c r="I54">
        <v>0</v>
      </c>
      <c r="J54" s="2">
        <f t="shared" si="2"/>
        <v>0</v>
      </c>
      <c r="K54" s="2">
        <v>1.3427890641614799</v>
      </c>
      <c r="L54" s="2">
        <f t="shared" si="3"/>
        <v>7.6975169283142159E-2</v>
      </c>
      <c r="M54">
        <v>12</v>
      </c>
      <c r="N54" s="2">
        <f t="shared" si="4"/>
        <v>0.68789808917197448</v>
      </c>
      <c r="O54">
        <v>15</v>
      </c>
      <c r="P54" s="2">
        <f t="shared" si="5"/>
        <v>0.85987261146496807</v>
      </c>
      <c r="Q54" t="s">
        <v>224</v>
      </c>
      <c r="R54" t="s">
        <v>46</v>
      </c>
      <c r="S54">
        <v>1</v>
      </c>
      <c r="T54" s="2">
        <f t="shared" si="6"/>
        <v>5.7324840764331204E-2</v>
      </c>
      <c r="U54" s="2">
        <v>0.8892339039593935</v>
      </c>
      <c r="V54" s="2">
        <f t="shared" si="7"/>
        <v>5.0975191946716826E-2</v>
      </c>
      <c r="W54" s="2">
        <v>5.500131125561893</v>
      </c>
      <c r="X54" s="2">
        <f t="shared" si="8"/>
        <v>0.31529414095577729</v>
      </c>
      <c r="Y54" s="2">
        <v>4.8886629268527031</v>
      </c>
      <c r="Z54" s="2">
        <f t="shared" si="9"/>
        <v>0.28024182383232055</v>
      </c>
      <c r="AA54">
        <v>2015</v>
      </c>
      <c r="AB54">
        <v>0</v>
      </c>
      <c r="AC54">
        <v>6000000</v>
      </c>
    </row>
    <row r="55" spans="1:29" x14ac:dyDescent="0.2">
      <c r="A55">
        <v>342</v>
      </c>
      <c r="B55" t="s">
        <v>47</v>
      </c>
      <c r="C55">
        <v>25</v>
      </c>
      <c r="D55">
        <v>2072</v>
      </c>
      <c r="E55">
        <v>3</v>
      </c>
      <c r="F55" s="2">
        <f t="shared" si="0"/>
        <v>0.1303088803088803</v>
      </c>
      <c r="G55" s="2">
        <v>2.4095747200772171</v>
      </c>
      <c r="H55" s="2">
        <f t="shared" si="1"/>
        <v>0.10466299459794862</v>
      </c>
      <c r="I55">
        <v>5</v>
      </c>
      <c r="J55" s="2">
        <f t="shared" si="2"/>
        <v>0.21718146718146716</v>
      </c>
      <c r="K55" s="2">
        <v>2.8430831916630268</v>
      </c>
      <c r="L55" s="2">
        <f t="shared" si="3"/>
        <v>0.12349299577686894</v>
      </c>
      <c r="M55">
        <v>17</v>
      </c>
      <c r="N55" s="2">
        <f t="shared" si="4"/>
        <v>0.73841698841698833</v>
      </c>
      <c r="O55">
        <v>23</v>
      </c>
      <c r="P55" s="2">
        <f t="shared" si="5"/>
        <v>0.99903474903474909</v>
      </c>
      <c r="Q55" t="s">
        <v>224</v>
      </c>
      <c r="R55" t="s">
        <v>46</v>
      </c>
      <c r="S55">
        <v>3</v>
      </c>
      <c r="T55" s="2">
        <f t="shared" si="6"/>
        <v>0.1303088803088803</v>
      </c>
      <c r="U55" s="2">
        <v>2.4095747200772171</v>
      </c>
      <c r="V55" s="2">
        <f t="shared" si="7"/>
        <v>0.10466299459794862</v>
      </c>
      <c r="W55" s="2">
        <v>7.9851804785430431</v>
      </c>
      <c r="X55" s="2">
        <f t="shared" si="8"/>
        <v>0.3468466424077577</v>
      </c>
      <c r="Y55" s="2">
        <v>4.0603283084928989</v>
      </c>
      <c r="Z55" s="2">
        <f t="shared" si="9"/>
        <v>0.17636561185538652</v>
      </c>
      <c r="AA55">
        <v>2016</v>
      </c>
      <c r="AB55">
        <v>0</v>
      </c>
      <c r="AC55">
        <v>15000000</v>
      </c>
    </row>
    <row r="56" spans="1:29" x14ac:dyDescent="0.2">
      <c r="A56">
        <v>342</v>
      </c>
      <c r="B56" t="s">
        <v>47</v>
      </c>
      <c r="C56">
        <v>27</v>
      </c>
      <c r="D56">
        <v>2154</v>
      </c>
      <c r="E56">
        <v>2</v>
      </c>
      <c r="F56" s="2">
        <f t="shared" si="0"/>
        <v>8.3565459610027856E-2</v>
      </c>
      <c r="G56" s="2">
        <v>2.549698524177074</v>
      </c>
      <c r="H56" s="2">
        <f t="shared" si="1"/>
        <v>0.10653336451993345</v>
      </c>
      <c r="I56">
        <v>4</v>
      </c>
      <c r="J56" s="2">
        <f t="shared" si="2"/>
        <v>0.16713091922005571</v>
      </c>
      <c r="K56" s="2">
        <v>4.0055589145049453</v>
      </c>
      <c r="L56" s="2">
        <f t="shared" si="3"/>
        <v>0.167363185842825</v>
      </c>
      <c r="M56">
        <v>21</v>
      </c>
      <c r="N56" s="2">
        <f t="shared" si="4"/>
        <v>0.87743732590529255</v>
      </c>
      <c r="O56">
        <v>19</v>
      </c>
      <c r="P56" s="2">
        <f t="shared" si="5"/>
        <v>0.79387186629526463</v>
      </c>
      <c r="Q56" t="s">
        <v>224</v>
      </c>
      <c r="R56" t="s">
        <v>28</v>
      </c>
      <c r="S56">
        <v>2</v>
      </c>
      <c r="T56" s="2">
        <f t="shared" si="6"/>
        <v>8.3565459610027856E-2</v>
      </c>
      <c r="U56" s="2">
        <v>2.549698524177074</v>
      </c>
      <c r="V56" s="2">
        <f t="shared" si="7"/>
        <v>0.10653336451993345</v>
      </c>
      <c r="W56" s="2">
        <v>15.234833128750321</v>
      </c>
      <c r="X56" s="2">
        <f t="shared" si="8"/>
        <v>0.63655291624304966</v>
      </c>
      <c r="Y56" s="2">
        <v>11.60147203505039</v>
      </c>
      <c r="Z56" s="2">
        <f t="shared" si="9"/>
        <v>0.48474117138093553</v>
      </c>
      <c r="AA56">
        <v>2017</v>
      </c>
      <c r="AB56">
        <v>1</v>
      </c>
      <c r="AC56">
        <v>18000000</v>
      </c>
    </row>
    <row r="57" spans="1:29" x14ac:dyDescent="0.2">
      <c r="A57">
        <v>342</v>
      </c>
      <c r="B57" t="s">
        <v>47</v>
      </c>
      <c r="C57">
        <v>24</v>
      </c>
      <c r="D57">
        <v>1897</v>
      </c>
      <c r="E57">
        <v>0</v>
      </c>
      <c r="F57" s="2">
        <f t="shared" si="0"/>
        <v>0</v>
      </c>
      <c r="G57" s="2">
        <v>0.41107499599456782</v>
      </c>
      <c r="H57" s="2">
        <f t="shared" si="1"/>
        <v>1.9502767337644229E-2</v>
      </c>
      <c r="I57">
        <v>5</v>
      </c>
      <c r="J57" s="2">
        <f t="shared" si="2"/>
        <v>0.23721665788086452</v>
      </c>
      <c r="K57" s="2">
        <v>6.7419330067932606</v>
      </c>
      <c r="L57" s="2">
        <f t="shared" si="3"/>
        <v>0.31985976310563702</v>
      </c>
      <c r="M57">
        <v>9</v>
      </c>
      <c r="N57" s="2">
        <f t="shared" si="4"/>
        <v>0.42698998418555617</v>
      </c>
      <c r="O57">
        <v>31</v>
      </c>
      <c r="P57" s="2">
        <f t="shared" si="5"/>
        <v>1.4707432788613601</v>
      </c>
      <c r="Q57" t="s">
        <v>224</v>
      </c>
      <c r="R57" t="s">
        <v>28</v>
      </c>
      <c r="S57">
        <v>0</v>
      </c>
      <c r="T57" s="2">
        <f t="shared" si="6"/>
        <v>0</v>
      </c>
      <c r="U57" s="2">
        <v>0.41107499599456782</v>
      </c>
      <c r="V57" s="2">
        <f t="shared" si="7"/>
        <v>1.9502767337644229E-2</v>
      </c>
      <c r="W57" s="2">
        <v>11.89089427515864</v>
      </c>
      <c r="X57" s="2">
        <f t="shared" si="8"/>
        <v>0.56414363983356752</v>
      </c>
      <c r="Y57" s="2">
        <v>9.1153792273253202</v>
      </c>
      <c r="Z57" s="2">
        <f t="shared" si="9"/>
        <v>0.43246395912455393</v>
      </c>
      <c r="AA57">
        <v>2018</v>
      </c>
      <c r="AB57">
        <v>1</v>
      </c>
      <c r="AC57">
        <v>20000000</v>
      </c>
    </row>
    <row r="58" spans="1:29" x14ac:dyDescent="0.2">
      <c r="A58">
        <v>482</v>
      </c>
      <c r="B58" t="s">
        <v>48</v>
      </c>
      <c r="C58">
        <v>38</v>
      </c>
      <c r="D58">
        <v>3035</v>
      </c>
      <c r="E58">
        <v>9</v>
      </c>
      <c r="F58" s="2">
        <f t="shared" si="0"/>
        <v>0.26688632619439867</v>
      </c>
      <c r="G58" s="2">
        <v>16.686226904392239</v>
      </c>
      <c r="H58" s="2">
        <f t="shared" si="1"/>
        <v>0.49481397739548649</v>
      </c>
      <c r="I58">
        <v>8</v>
      </c>
      <c r="J58" s="2">
        <f t="shared" si="2"/>
        <v>0.2372322899505766</v>
      </c>
      <c r="K58" s="2">
        <v>7.3466522619128227</v>
      </c>
      <c r="L58" s="2">
        <f t="shared" si="3"/>
        <v>0.21785789244552028</v>
      </c>
      <c r="M58">
        <v>98</v>
      </c>
      <c r="N58" s="2">
        <f t="shared" si="4"/>
        <v>2.9060955518945635</v>
      </c>
      <c r="O58">
        <v>52</v>
      </c>
      <c r="P58" s="2">
        <f t="shared" si="5"/>
        <v>1.542009884678748</v>
      </c>
      <c r="Q58" t="s">
        <v>222</v>
      </c>
      <c r="R58" t="s">
        <v>31</v>
      </c>
      <c r="S58">
        <v>9</v>
      </c>
      <c r="T58" s="2">
        <f t="shared" si="6"/>
        <v>0.26688632619439867</v>
      </c>
      <c r="U58" s="2">
        <v>16.686226904392239</v>
      </c>
      <c r="V58" s="2">
        <f t="shared" si="7"/>
        <v>0.49481397739548649</v>
      </c>
      <c r="W58" s="2">
        <v>28.271110355854031</v>
      </c>
      <c r="X58" s="2">
        <f t="shared" si="8"/>
        <v>0.83835253114558905</v>
      </c>
      <c r="Y58" s="2">
        <v>9.4633130878210086</v>
      </c>
      <c r="Z58" s="2">
        <f t="shared" si="9"/>
        <v>0.28062542929287998</v>
      </c>
      <c r="AA58">
        <v>2019</v>
      </c>
      <c r="AB58">
        <v>0</v>
      </c>
      <c r="AC58">
        <v>72000000</v>
      </c>
    </row>
    <row r="59" spans="1:29" x14ac:dyDescent="0.2">
      <c r="A59">
        <v>482</v>
      </c>
      <c r="B59" t="s">
        <v>48</v>
      </c>
      <c r="C59">
        <v>36</v>
      </c>
      <c r="D59">
        <v>2882</v>
      </c>
      <c r="E59">
        <v>9</v>
      </c>
      <c r="F59" s="2">
        <f t="shared" si="0"/>
        <v>0.28105482303955587</v>
      </c>
      <c r="G59" s="2">
        <v>12.86021648719907</v>
      </c>
      <c r="H59" s="2">
        <f t="shared" si="1"/>
        <v>0.40160287434001257</v>
      </c>
      <c r="I59">
        <v>7</v>
      </c>
      <c r="J59" s="2">
        <f t="shared" si="2"/>
        <v>0.21859819569743233</v>
      </c>
      <c r="K59" s="2">
        <v>6.1168645210564137</v>
      </c>
      <c r="L59" s="2">
        <f t="shared" si="3"/>
        <v>0.19101936394693866</v>
      </c>
      <c r="M59">
        <v>83</v>
      </c>
      <c r="N59" s="2">
        <f t="shared" si="4"/>
        <v>2.5919500346981263</v>
      </c>
      <c r="O59">
        <v>44</v>
      </c>
      <c r="P59" s="2">
        <f t="shared" si="5"/>
        <v>1.3740458015267174</v>
      </c>
      <c r="Q59" t="s">
        <v>222</v>
      </c>
      <c r="R59" t="s">
        <v>31</v>
      </c>
      <c r="S59">
        <v>9</v>
      </c>
      <c r="T59" s="2">
        <f t="shared" si="6"/>
        <v>0.28105482303955587</v>
      </c>
      <c r="U59" s="2">
        <v>12.86021648719907</v>
      </c>
      <c r="V59" s="2">
        <f t="shared" si="7"/>
        <v>0.40160287434001257</v>
      </c>
      <c r="W59" s="2">
        <v>25.271468130871661</v>
      </c>
      <c r="X59" s="2">
        <f t="shared" si="8"/>
        <v>0.78918533371910116</v>
      </c>
      <c r="Y59" s="2">
        <v>10.198549590073529</v>
      </c>
      <c r="Z59" s="2">
        <f t="shared" si="9"/>
        <v>0.31848350558869454</v>
      </c>
      <c r="AA59">
        <v>2020</v>
      </c>
      <c r="AB59">
        <v>0</v>
      </c>
      <c r="AC59">
        <v>50000000</v>
      </c>
    </row>
    <row r="60" spans="1:29" x14ac:dyDescent="0.2">
      <c r="A60">
        <v>482</v>
      </c>
      <c r="B60" t="s">
        <v>48</v>
      </c>
      <c r="C60">
        <v>20</v>
      </c>
      <c r="D60">
        <v>979</v>
      </c>
      <c r="E60">
        <v>5</v>
      </c>
      <c r="F60" s="2">
        <f t="shared" si="0"/>
        <v>0.45965270684371806</v>
      </c>
      <c r="G60" s="2">
        <v>5.2532632164657116</v>
      </c>
      <c r="H60" s="2">
        <f t="shared" si="1"/>
        <v>0.4829353314422003</v>
      </c>
      <c r="I60">
        <v>4</v>
      </c>
      <c r="J60" s="2">
        <f t="shared" si="2"/>
        <v>0.36772216547497449</v>
      </c>
      <c r="K60" s="2">
        <v>2.2188239628449078</v>
      </c>
      <c r="L60" s="2">
        <f t="shared" si="3"/>
        <v>0.20397768810627345</v>
      </c>
      <c r="M60">
        <v>30</v>
      </c>
      <c r="N60" s="2">
        <f t="shared" si="4"/>
        <v>2.7579162410623086</v>
      </c>
      <c r="O60">
        <v>16</v>
      </c>
      <c r="P60" s="2">
        <f t="shared" si="5"/>
        <v>1.470888661899898</v>
      </c>
      <c r="Q60" t="s">
        <v>222</v>
      </c>
      <c r="R60" t="s">
        <v>31</v>
      </c>
      <c r="S60">
        <v>5</v>
      </c>
      <c r="T60" s="2">
        <f t="shared" si="6"/>
        <v>0.45965270684371806</v>
      </c>
      <c r="U60" s="2">
        <v>5.2532632164657116</v>
      </c>
      <c r="V60" s="2">
        <f t="shared" si="7"/>
        <v>0.4829353314422003</v>
      </c>
      <c r="W60" s="2">
        <v>11.99723954126239</v>
      </c>
      <c r="X60" s="2">
        <f t="shared" si="8"/>
        <v>1.1029127259587488</v>
      </c>
      <c r="Y60" s="2">
        <v>5.7073651663959026</v>
      </c>
      <c r="Z60" s="2">
        <f t="shared" si="9"/>
        <v>0.52468116953588484</v>
      </c>
      <c r="AA60">
        <v>2021</v>
      </c>
      <c r="AB60">
        <v>1</v>
      </c>
      <c r="AC60">
        <v>32000000</v>
      </c>
    </row>
    <row r="61" spans="1:29" x14ac:dyDescent="0.2">
      <c r="A61">
        <v>482</v>
      </c>
      <c r="B61" t="s">
        <v>48</v>
      </c>
      <c r="C61">
        <v>25</v>
      </c>
      <c r="D61">
        <v>1203</v>
      </c>
      <c r="E61">
        <v>11</v>
      </c>
      <c r="F61" s="2">
        <f t="shared" si="0"/>
        <v>0.82294264339152123</v>
      </c>
      <c r="G61" s="2">
        <v>8.1229563355445862</v>
      </c>
      <c r="H61" s="2">
        <f t="shared" si="1"/>
        <v>0.60770246899336056</v>
      </c>
      <c r="I61">
        <v>4</v>
      </c>
      <c r="J61" s="2">
        <f t="shared" si="2"/>
        <v>0.29925187032418954</v>
      </c>
      <c r="K61" s="2">
        <v>3.0548400916159149</v>
      </c>
      <c r="L61" s="2">
        <f t="shared" si="3"/>
        <v>0.22854165273934524</v>
      </c>
      <c r="M61">
        <v>39</v>
      </c>
      <c r="N61" s="2">
        <f t="shared" si="4"/>
        <v>2.917705735660848</v>
      </c>
      <c r="O61">
        <v>21</v>
      </c>
      <c r="P61" s="2">
        <f t="shared" si="5"/>
        <v>1.5710723192019949</v>
      </c>
      <c r="Q61" t="s">
        <v>222</v>
      </c>
      <c r="R61" t="s">
        <v>31</v>
      </c>
      <c r="S61">
        <v>11</v>
      </c>
      <c r="T61" s="2">
        <f t="shared" si="6"/>
        <v>0.82294264339152123</v>
      </c>
      <c r="U61" s="2">
        <v>8.1229563355445862</v>
      </c>
      <c r="V61" s="2">
        <f t="shared" si="7"/>
        <v>0.60770246899336056</v>
      </c>
      <c r="W61" s="2">
        <v>13.91264321282506</v>
      </c>
      <c r="X61" s="2">
        <f t="shared" si="8"/>
        <v>1.0408461256477601</v>
      </c>
      <c r="Y61" s="2">
        <v>6.6901707127690324</v>
      </c>
      <c r="Z61" s="2">
        <f t="shared" si="9"/>
        <v>0.5005115246460623</v>
      </c>
      <c r="AA61">
        <v>2022</v>
      </c>
      <c r="AB61">
        <v>1</v>
      </c>
      <c r="AC61">
        <v>18000000</v>
      </c>
    </row>
    <row r="62" spans="1:29" x14ac:dyDescent="0.2">
      <c r="A62">
        <v>489</v>
      </c>
      <c r="B62" t="s">
        <v>49</v>
      </c>
      <c r="C62">
        <v>22</v>
      </c>
      <c r="D62">
        <v>895</v>
      </c>
      <c r="E62">
        <v>2</v>
      </c>
      <c r="F62" s="2">
        <f t="shared" si="0"/>
        <v>0.20111731843575417</v>
      </c>
      <c r="G62" s="2">
        <v>2.1647368744015698</v>
      </c>
      <c r="H62" s="2">
        <f t="shared" si="1"/>
        <v>0.21768303764931984</v>
      </c>
      <c r="I62">
        <v>2</v>
      </c>
      <c r="J62" s="2">
        <f t="shared" si="2"/>
        <v>0.20111731843575417</v>
      </c>
      <c r="K62" s="2">
        <v>0.93465179204940796</v>
      </c>
      <c r="L62" s="2">
        <f t="shared" si="3"/>
        <v>9.3987331044074557E-2</v>
      </c>
      <c r="M62">
        <v>12</v>
      </c>
      <c r="N62" s="2">
        <f t="shared" si="4"/>
        <v>1.2067039106145252</v>
      </c>
      <c r="O62">
        <v>11</v>
      </c>
      <c r="P62" s="2">
        <f t="shared" si="5"/>
        <v>1.1061452513966479</v>
      </c>
      <c r="Q62" t="s">
        <v>223</v>
      </c>
      <c r="R62" t="s">
        <v>31</v>
      </c>
      <c r="S62">
        <v>0</v>
      </c>
      <c r="T62" s="2">
        <f t="shared" si="6"/>
        <v>0</v>
      </c>
      <c r="U62" s="2">
        <v>0.64239580184221268</v>
      </c>
      <c r="V62" s="2">
        <f t="shared" si="7"/>
        <v>6.4598460520445974E-2</v>
      </c>
      <c r="W62" s="2">
        <v>6.6462409794330597</v>
      </c>
      <c r="X62" s="2">
        <f t="shared" si="8"/>
        <v>0.66833708173069872</v>
      </c>
      <c r="Y62" s="2">
        <v>5.7409800589084634</v>
      </c>
      <c r="Z62" s="2">
        <f t="shared" si="9"/>
        <v>0.57730525732040416</v>
      </c>
      <c r="AA62">
        <v>2019</v>
      </c>
      <c r="AB62">
        <v>0</v>
      </c>
      <c r="AC62">
        <v>6500000</v>
      </c>
    </row>
    <row r="63" spans="1:29" x14ac:dyDescent="0.2">
      <c r="A63">
        <v>489</v>
      </c>
      <c r="B63" t="s">
        <v>49</v>
      </c>
      <c r="C63">
        <v>26</v>
      </c>
      <c r="D63">
        <v>1037</v>
      </c>
      <c r="E63">
        <v>0</v>
      </c>
      <c r="F63" s="2">
        <f t="shared" si="0"/>
        <v>0</v>
      </c>
      <c r="G63" s="2">
        <v>0.35657370463013649</v>
      </c>
      <c r="H63" s="2">
        <f t="shared" si="1"/>
        <v>3.094660888786141E-2</v>
      </c>
      <c r="I63">
        <v>1</v>
      </c>
      <c r="J63" s="2">
        <f t="shared" si="2"/>
        <v>8.6788813886210223E-2</v>
      </c>
      <c r="K63" s="2">
        <v>0.79055950790643692</v>
      </c>
      <c r="L63" s="2">
        <f t="shared" si="3"/>
        <v>6.8611721997665701E-2</v>
      </c>
      <c r="M63">
        <v>12</v>
      </c>
      <c r="N63" s="2">
        <f t="shared" si="4"/>
        <v>1.0414657666345228</v>
      </c>
      <c r="O63">
        <v>13</v>
      </c>
      <c r="P63" s="2">
        <f t="shared" si="5"/>
        <v>1.1282545805207329</v>
      </c>
      <c r="Q63" t="s">
        <v>223</v>
      </c>
      <c r="R63" t="s">
        <v>31</v>
      </c>
      <c r="S63">
        <v>0</v>
      </c>
      <c r="T63" s="2">
        <f t="shared" si="6"/>
        <v>0</v>
      </c>
      <c r="U63" s="2">
        <v>0.35657370463013649</v>
      </c>
      <c r="V63" s="2">
        <f t="shared" si="7"/>
        <v>3.094660888786141E-2</v>
      </c>
      <c r="W63" s="2">
        <v>5.6850418448448181</v>
      </c>
      <c r="X63" s="2">
        <f t="shared" si="8"/>
        <v>0.49339803860755416</v>
      </c>
      <c r="Y63" s="2">
        <v>4.8852581605315208</v>
      </c>
      <c r="Z63" s="2">
        <f t="shared" si="9"/>
        <v>0.42398576128045984</v>
      </c>
      <c r="AA63">
        <v>2020</v>
      </c>
      <c r="AB63">
        <v>0</v>
      </c>
      <c r="AC63">
        <v>3000000</v>
      </c>
    </row>
    <row r="64" spans="1:29" x14ac:dyDescent="0.2">
      <c r="A64">
        <v>489</v>
      </c>
      <c r="B64" t="s">
        <v>49</v>
      </c>
      <c r="C64">
        <v>24</v>
      </c>
      <c r="D64">
        <v>836</v>
      </c>
      <c r="E64">
        <v>0</v>
      </c>
      <c r="F64" s="2">
        <f t="shared" si="0"/>
        <v>0</v>
      </c>
      <c r="G64" s="2">
        <v>0.34471179731190199</v>
      </c>
      <c r="H64" s="2">
        <f t="shared" si="1"/>
        <v>3.7110121720180834E-2</v>
      </c>
      <c r="I64">
        <v>1</v>
      </c>
      <c r="J64" s="2">
        <f t="shared" si="2"/>
        <v>0.10765550239234449</v>
      </c>
      <c r="K64" s="2">
        <v>2.1824410259723659</v>
      </c>
      <c r="L64" s="2">
        <f t="shared" si="3"/>
        <v>0.2349517850927188</v>
      </c>
      <c r="M64">
        <v>10</v>
      </c>
      <c r="N64" s="2">
        <f t="shared" si="4"/>
        <v>1.0765550239234449</v>
      </c>
      <c r="O64">
        <v>22</v>
      </c>
      <c r="P64" s="2">
        <f t="shared" si="5"/>
        <v>2.3684210526315788</v>
      </c>
      <c r="Q64" t="s">
        <v>223</v>
      </c>
      <c r="R64" t="s">
        <v>31</v>
      </c>
      <c r="S64">
        <v>0</v>
      </c>
      <c r="T64" s="2">
        <f t="shared" si="6"/>
        <v>0</v>
      </c>
      <c r="U64" s="2">
        <v>0.34471179731190199</v>
      </c>
      <c r="V64" s="2">
        <f t="shared" si="7"/>
        <v>3.7110121720180834E-2</v>
      </c>
      <c r="W64" s="2">
        <v>7.4144880846142769</v>
      </c>
      <c r="X64" s="2">
        <f t="shared" si="8"/>
        <v>0.79821043973120209</v>
      </c>
      <c r="Y64" s="2">
        <v>6.5167971253395081</v>
      </c>
      <c r="Z64" s="2">
        <f t="shared" si="9"/>
        <v>0.70156906851741119</v>
      </c>
      <c r="AA64">
        <v>2021</v>
      </c>
      <c r="AB64">
        <v>1</v>
      </c>
      <c r="AC64">
        <v>2000000</v>
      </c>
    </row>
    <row r="65" spans="1:29" x14ac:dyDescent="0.2">
      <c r="A65">
        <v>489</v>
      </c>
      <c r="B65" t="s">
        <v>49</v>
      </c>
      <c r="C65">
        <v>31</v>
      </c>
      <c r="D65">
        <v>841</v>
      </c>
      <c r="E65">
        <v>0</v>
      </c>
      <c r="F65" s="2">
        <f t="shared" si="0"/>
        <v>0</v>
      </c>
      <c r="G65" s="2">
        <v>0.38700058683753008</v>
      </c>
      <c r="H65" s="2">
        <f t="shared" si="1"/>
        <v>4.1415044964777298E-2</v>
      </c>
      <c r="I65">
        <v>1</v>
      </c>
      <c r="J65" s="2">
        <f t="shared" si="2"/>
        <v>0.1070154577883472</v>
      </c>
      <c r="K65" s="2">
        <v>1.6215140726417301</v>
      </c>
      <c r="L65" s="2">
        <f t="shared" si="3"/>
        <v>0.17352707079400204</v>
      </c>
      <c r="M65">
        <v>7</v>
      </c>
      <c r="N65" s="2">
        <f t="shared" si="4"/>
        <v>0.74910820451843041</v>
      </c>
      <c r="O65">
        <v>14</v>
      </c>
      <c r="P65" s="2">
        <f t="shared" si="5"/>
        <v>1.4982164090368608</v>
      </c>
      <c r="Q65" t="s">
        <v>223</v>
      </c>
      <c r="R65" t="s">
        <v>31</v>
      </c>
      <c r="S65">
        <v>0</v>
      </c>
      <c r="T65" s="2">
        <f t="shared" si="6"/>
        <v>0</v>
      </c>
      <c r="U65" s="2">
        <v>0.38700058683753008</v>
      </c>
      <c r="V65" s="2">
        <f t="shared" si="7"/>
        <v>4.1415044964777298E-2</v>
      </c>
      <c r="W65" s="2">
        <v>5.0012162961065769</v>
      </c>
      <c r="X65" s="2">
        <f t="shared" si="8"/>
        <v>0.53520745142638748</v>
      </c>
      <c r="Y65" s="2">
        <v>3.9429658446460958</v>
      </c>
      <c r="Z65" s="2">
        <f t="shared" si="9"/>
        <v>0.42195829490861902</v>
      </c>
      <c r="AA65">
        <v>2022</v>
      </c>
      <c r="AB65">
        <v>1</v>
      </c>
      <c r="AC65">
        <v>1500000</v>
      </c>
    </row>
    <row r="66" spans="1:29" x14ac:dyDescent="0.2">
      <c r="A66">
        <v>492</v>
      </c>
      <c r="B66" t="s">
        <v>50</v>
      </c>
      <c r="C66">
        <v>36</v>
      </c>
      <c r="D66">
        <v>3240</v>
      </c>
      <c r="E66">
        <v>1</v>
      </c>
      <c r="F66" s="2">
        <f t="shared" si="0"/>
        <v>2.7777777777777776E-2</v>
      </c>
      <c r="G66" s="2">
        <v>0.70775469392538071</v>
      </c>
      <c r="H66" s="2">
        <f t="shared" si="1"/>
        <v>1.9659852609038353E-2</v>
      </c>
      <c r="I66">
        <v>5</v>
      </c>
      <c r="J66" s="2">
        <f t="shared" si="2"/>
        <v>0.1388888888888889</v>
      </c>
      <c r="K66" s="2">
        <v>4.7537573464214802</v>
      </c>
      <c r="L66" s="2">
        <f t="shared" si="3"/>
        <v>0.13204881517837444</v>
      </c>
      <c r="M66">
        <v>13</v>
      </c>
      <c r="N66" s="2">
        <f t="shared" si="4"/>
        <v>0.36111111111111116</v>
      </c>
      <c r="O66">
        <v>24</v>
      </c>
      <c r="P66" s="2">
        <f t="shared" si="5"/>
        <v>0.66666666666666674</v>
      </c>
      <c r="Q66" t="s">
        <v>224</v>
      </c>
      <c r="R66" t="s">
        <v>28</v>
      </c>
      <c r="S66">
        <v>1</v>
      </c>
      <c r="T66" s="2">
        <f t="shared" si="6"/>
        <v>2.7777777777777776E-2</v>
      </c>
      <c r="U66" s="2">
        <v>0.70775469392538071</v>
      </c>
      <c r="V66" s="2">
        <f t="shared" si="7"/>
        <v>1.9659852609038353E-2</v>
      </c>
      <c r="W66" s="2">
        <v>17.708984507247809</v>
      </c>
      <c r="X66" s="2">
        <f t="shared" si="8"/>
        <v>0.49191623631243919</v>
      </c>
      <c r="Y66" s="2">
        <v>14.37025590054691</v>
      </c>
      <c r="Z66" s="2">
        <f t="shared" si="9"/>
        <v>0.39917377501519191</v>
      </c>
      <c r="AA66">
        <v>2015</v>
      </c>
      <c r="AB66">
        <v>0</v>
      </c>
      <c r="AC66">
        <v>18000000</v>
      </c>
    </row>
    <row r="67" spans="1:29" x14ac:dyDescent="0.2">
      <c r="A67">
        <v>492</v>
      </c>
      <c r="B67" t="s">
        <v>50</v>
      </c>
      <c r="C67">
        <v>33</v>
      </c>
      <c r="D67">
        <v>2496</v>
      </c>
      <c r="E67">
        <v>1</v>
      </c>
      <c r="F67" s="2">
        <f t="shared" ref="F67:F130" si="10">E67/D67*90</f>
        <v>3.6057692307692304E-2</v>
      </c>
      <c r="G67" s="2">
        <v>2.2728806994855399</v>
      </c>
      <c r="H67" s="2">
        <f t="shared" ref="H67:H130" si="11">G67/D67*90</f>
        <v>8.1954832914142059E-2</v>
      </c>
      <c r="I67">
        <v>4</v>
      </c>
      <c r="J67" s="2">
        <f t="shared" ref="J67:J130" si="12">I67/D67*90</f>
        <v>0.14423076923076922</v>
      </c>
      <c r="K67" s="2">
        <v>3.5707100834697481</v>
      </c>
      <c r="L67" s="2">
        <f t="shared" ref="L67:L130" si="13">K67/D67*90</f>
        <v>0.1287515655097265</v>
      </c>
      <c r="M67">
        <v>22</v>
      </c>
      <c r="N67" s="2">
        <f t="shared" ref="N67:N130" si="14">M67/D67*90</f>
        <v>0.79326923076923073</v>
      </c>
      <c r="O67">
        <v>28</v>
      </c>
      <c r="P67" s="2">
        <f t="shared" ref="P67:P130" si="15">O67/D67*90</f>
        <v>1.0096153846153846</v>
      </c>
      <c r="Q67" t="s">
        <v>224</v>
      </c>
      <c r="R67" t="s">
        <v>28</v>
      </c>
      <c r="S67">
        <v>1</v>
      </c>
      <c r="T67" s="2">
        <f t="shared" ref="T67:T130" si="16">S67/D67*90</f>
        <v>3.6057692307692304E-2</v>
      </c>
      <c r="U67" s="2">
        <v>2.2728806994855399</v>
      </c>
      <c r="V67" s="2">
        <f t="shared" ref="V67:V130" si="17">U67/D67*90</f>
        <v>8.1954832914142059E-2</v>
      </c>
      <c r="W67" s="2">
        <v>12.35897125862539</v>
      </c>
      <c r="X67" s="2">
        <f t="shared" ref="X67:X130" si="18">W67/D67*90</f>
        <v>0.445635982883127</v>
      </c>
      <c r="Y67" s="2">
        <v>7.4899486489593983</v>
      </c>
      <c r="Z67" s="2">
        <f t="shared" ref="Z67:Z130" si="19">Y67/D67*90</f>
        <v>0.2700702637845937</v>
      </c>
      <c r="AA67">
        <v>2016</v>
      </c>
      <c r="AB67">
        <v>0</v>
      </c>
      <c r="AC67">
        <v>30000000</v>
      </c>
    </row>
    <row r="68" spans="1:29" x14ac:dyDescent="0.2">
      <c r="A68">
        <v>492</v>
      </c>
      <c r="B68" t="s">
        <v>50</v>
      </c>
      <c r="C68">
        <v>35</v>
      </c>
      <c r="D68">
        <v>3051</v>
      </c>
      <c r="E68">
        <v>2</v>
      </c>
      <c r="F68" s="2">
        <f t="shared" si="10"/>
        <v>5.8997050147492625E-2</v>
      </c>
      <c r="G68" s="2">
        <v>2.4699696823954582</v>
      </c>
      <c r="H68" s="2">
        <f t="shared" si="11"/>
        <v>7.2860462607535634E-2</v>
      </c>
      <c r="I68">
        <v>3</v>
      </c>
      <c r="J68" s="2">
        <f t="shared" si="12"/>
        <v>8.8495575221238937E-2</v>
      </c>
      <c r="K68" s="2">
        <v>4.652230934239924</v>
      </c>
      <c r="L68" s="2">
        <f t="shared" si="13"/>
        <v>0.13723395086253462</v>
      </c>
      <c r="M68">
        <v>29</v>
      </c>
      <c r="N68" s="2">
        <f t="shared" si="14"/>
        <v>0.85545722713864314</v>
      </c>
      <c r="O68">
        <v>32</v>
      </c>
      <c r="P68" s="2">
        <f t="shared" si="15"/>
        <v>0.94395280235988199</v>
      </c>
      <c r="Q68" t="s">
        <v>224</v>
      </c>
      <c r="R68" t="s">
        <v>28</v>
      </c>
      <c r="S68">
        <v>2</v>
      </c>
      <c r="T68" s="2">
        <f t="shared" si="16"/>
        <v>5.8997050147492625E-2</v>
      </c>
      <c r="U68" s="2">
        <v>2.4699696823954582</v>
      </c>
      <c r="V68" s="2">
        <f t="shared" si="17"/>
        <v>7.2860462607535634E-2</v>
      </c>
      <c r="W68" s="2">
        <v>19.897638525813811</v>
      </c>
      <c r="X68" s="2">
        <f t="shared" si="18"/>
        <v>0.58695098896205933</v>
      </c>
      <c r="Y68" s="2">
        <v>14.828240491449829</v>
      </c>
      <c r="Z68" s="2">
        <f t="shared" si="19"/>
        <v>0.43741122393657311</v>
      </c>
      <c r="AA68">
        <v>2017</v>
      </c>
      <c r="AB68">
        <v>1</v>
      </c>
      <c r="AC68">
        <v>40000000</v>
      </c>
    </row>
    <row r="69" spans="1:29" x14ac:dyDescent="0.2">
      <c r="A69">
        <v>492</v>
      </c>
      <c r="B69" t="s">
        <v>50</v>
      </c>
      <c r="C69">
        <v>19</v>
      </c>
      <c r="D69">
        <v>1539</v>
      </c>
      <c r="E69">
        <v>0</v>
      </c>
      <c r="F69" s="2">
        <f t="shared" si="10"/>
        <v>0</v>
      </c>
      <c r="G69" s="2">
        <v>0.96285428479313839</v>
      </c>
      <c r="H69" s="2">
        <f t="shared" si="11"/>
        <v>5.6307268116557799E-2</v>
      </c>
      <c r="I69">
        <v>5</v>
      </c>
      <c r="J69" s="2">
        <f t="shared" si="12"/>
        <v>0.29239766081871343</v>
      </c>
      <c r="K69" s="2">
        <v>2.4628625456243749</v>
      </c>
      <c r="L69" s="2">
        <f t="shared" si="13"/>
        <v>0.14402704945171782</v>
      </c>
      <c r="M69">
        <v>18</v>
      </c>
      <c r="N69" s="2">
        <f t="shared" si="14"/>
        <v>1.0526315789473684</v>
      </c>
      <c r="O69">
        <v>8</v>
      </c>
      <c r="P69" s="2">
        <f t="shared" si="15"/>
        <v>0.46783625730994149</v>
      </c>
      <c r="Q69" t="s">
        <v>224</v>
      </c>
      <c r="R69" t="s">
        <v>28</v>
      </c>
      <c r="S69">
        <v>0</v>
      </c>
      <c r="T69" s="2">
        <f t="shared" si="16"/>
        <v>0</v>
      </c>
      <c r="U69" s="2">
        <v>0.96285428479313839</v>
      </c>
      <c r="V69" s="2">
        <f t="shared" si="17"/>
        <v>5.6307268116557799E-2</v>
      </c>
      <c r="W69" s="2">
        <v>8.6429186686873436</v>
      </c>
      <c r="X69" s="2">
        <f t="shared" si="18"/>
        <v>0.50543384027411364</v>
      </c>
      <c r="Y69" s="2">
        <v>5.9132348829880357</v>
      </c>
      <c r="Z69" s="2">
        <f t="shared" si="19"/>
        <v>0.34580320953146404</v>
      </c>
      <c r="AA69">
        <v>2018</v>
      </c>
      <c r="AB69">
        <v>1</v>
      </c>
      <c r="AC69">
        <v>40000000</v>
      </c>
    </row>
    <row r="70" spans="1:29" x14ac:dyDescent="0.2">
      <c r="A70">
        <v>494</v>
      </c>
      <c r="B70" t="s">
        <v>51</v>
      </c>
      <c r="C70">
        <v>33</v>
      </c>
      <c r="D70">
        <v>2848</v>
      </c>
      <c r="E70">
        <v>4</v>
      </c>
      <c r="F70" s="2">
        <f t="shared" si="10"/>
        <v>0.12640449438202248</v>
      </c>
      <c r="G70" s="2">
        <v>3.3445703331381078</v>
      </c>
      <c r="H70" s="2">
        <f t="shared" si="11"/>
        <v>0.10569218047135875</v>
      </c>
      <c r="I70">
        <v>0</v>
      </c>
      <c r="J70" s="2">
        <f t="shared" si="12"/>
        <v>0</v>
      </c>
      <c r="K70" s="2">
        <v>0.71833541244268417</v>
      </c>
      <c r="L70" s="2">
        <f t="shared" si="13"/>
        <v>2.2700206151629768E-2</v>
      </c>
      <c r="M70">
        <v>19</v>
      </c>
      <c r="N70" s="2">
        <f t="shared" si="14"/>
        <v>0.6004213483146067</v>
      </c>
      <c r="O70">
        <v>8</v>
      </c>
      <c r="P70" s="2">
        <f t="shared" si="15"/>
        <v>0.25280898876404495</v>
      </c>
      <c r="Q70" t="s">
        <v>224</v>
      </c>
      <c r="R70" t="s">
        <v>28</v>
      </c>
      <c r="S70">
        <v>4</v>
      </c>
      <c r="T70" s="2">
        <f t="shared" si="16"/>
        <v>0.12640449438202248</v>
      </c>
      <c r="U70" s="2">
        <v>3.3445703331381078</v>
      </c>
      <c r="V70" s="2">
        <f t="shared" si="17"/>
        <v>0.10569218047135875</v>
      </c>
      <c r="W70" s="2">
        <v>10.7520874645561</v>
      </c>
      <c r="X70" s="2">
        <f t="shared" si="18"/>
        <v>0.33977804487712393</v>
      </c>
      <c r="Y70" s="2">
        <v>9.0755311753600836</v>
      </c>
      <c r="Z70" s="2">
        <f t="shared" si="19"/>
        <v>0.28679698236741835</v>
      </c>
      <c r="AA70">
        <v>2015</v>
      </c>
      <c r="AB70">
        <v>0</v>
      </c>
      <c r="AC70">
        <v>22000000</v>
      </c>
    </row>
    <row r="71" spans="1:29" x14ac:dyDescent="0.2">
      <c r="A71">
        <v>494</v>
      </c>
      <c r="B71" t="s">
        <v>51</v>
      </c>
      <c r="C71">
        <v>33</v>
      </c>
      <c r="D71">
        <v>2828</v>
      </c>
      <c r="E71">
        <v>2</v>
      </c>
      <c r="F71" s="2">
        <f t="shared" si="10"/>
        <v>6.3649222065063654E-2</v>
      </c>
      <c r="G71" s="2">
        <v>1.329805074259639</v>
      </c>
      <c r="H71" s="2">
        <f t="shared" si="11"/>
        <v>4.2320529237400109E-2</v>
      </c>
      <c r="I71">
        <v>0</v>
      </c>
      <c r="J71" s="2">
        <f t="shared" si="12"/>
        <v>0</v>
      </c>
      <c r="K71" s="2">
        <v>0.19773560203611851</v>
      </c>
      <c r="L71" s="2">
        <f t="shared" si="13"/>
        <v>6.2928586220829799E-3</v>
      </c>
      <c r="M71">
        <v>9</v>
      </c>
      <c r="N71" s="2">
        <f t="shared" si="14"/>
        <v>0.28642149929278643</v>
      </c>
      <c r="O71">
        <v>3</v>
      </c>
      <c r="P71" s="2">
        <f t="shared" si="15"/>
        <v>9.5473833097595467E-2</v>
      </c>
      <c r="Q71" t="s">
        <v>224</v>
      </c>
      <c r="R71" t="s">
        <v>28</v>
      </c>
      <c r="S71">
        <v>2</v>
      </c>
      <c r="T71" s="2">
        <f t="shared" si="16"/>
        <v>6.3649222065063654E-2</v>
      </c>
      <c r="U71" s="2">
        <v>1.329805074259639</v>
      </c>
      <c r="V71" s="2">
        <f t="shared" si="17"/>
        <v>4.2320529237400109E-2</v>
      </c>
      <c r="W71" s="2">
        <v>7.7497323136776686</v>
      </c>
      <c r="X71" s="2">
        <f t="shared" si="18"/>
        <v>0.24663221648903469</v>
      </c>
      <c r="Y71" s="2">
        <v>7.7062383126467466</v>
      </c>
      <c r="Z71" s="2">
        <f t="shared" si="19"/>
        <v>0.24524803682397708</v>
      </c>
      <c r="AA71">
        <v>2016</v>
      </c>
      <c r="AB71">
        <v>0</v>
      </c>
      <c r="AC71">
        <v>22000000</v>
      </c>
    </row>
    <row r="72" spans="1:29" x14ac:dyDescent="0.2">
      <c r="A72">
        <v>494</v>
      </c>
      <c r="B72" t="s">
        <v>51</v>
      </c>
      <c r="C72">
        <v>25</v>
      </c>
      <c r="D72">
        <v>2232</v>
      </c>
      <c r="E72">
        <v>2</v>
      </c>
      <c r="F72" s="2">
        <f t="shared" si="10"/>
        <v>8.0645161290322578E-2</v>
      </c>
      <c r="G72" s="2">
        <v>2.1675616037100549</v>
      </c>
      <c r="H72" s="2">
        <f t="shared" si="11"/>
        <v>8.7401677568953826E-2</v>
      </c>
      <c r="I72">
        <v>0</v>
      </c>
      <c r="J72" s="2">
        <f t="shared" si="12"/>
        <v>0</v>
      </c>
      <c r="K72" s="2">
        <v>0.44408879987895489</v>
      </c>
      <c r="L72" s="2">
        <f t="shared" si="13"/>
        <v>1.7906806446732051E-2</v>
      </c>
      <c r="M72">
        <v>9</v>
      </c>
      <c r="N72" s="2">
        <f t="shared" si="14"/>
        <v>0.36290322580645162</v>
      </c>
      <c r="O72">
        <v>7</v>
      </c>
      <c r="P72" s="2">
        <f t="shared" si="15"/>
        <v>0.28225806451612906</v>
      </c>
      <c r="Q72" t="s">
        <v>224</v>
      </c>
      <c r="R72" t="s">
        <v>28</v>
      </c>
      <c r="S72">
        <v>2</v>
      </c>
      <c r="T72" s="2">
        <f t="shared" si="16"/>
        <v>8.0645161290322578E-2</v>
      </c>
      <c r="U72" s="2">
        <v>2.1675616037100549</v>
      </c>
      <c r="V72" s="2">
        <f t="shared" si="17"/>
        <v>8.7401677568953826E-2</v>
      </c>
      <c r="W72" s="2">
        <v>7.934890883974731</v>
      </c>
      <c r="X72" s="2">
        <f t="shared" si="18"/>
        <v>0.31995527757962627</v>
      </c>
      <c r="Y72" s="2">
        <v>7.8020888594910502</v>
      </c>
      <c r="Z72" s="2">
        <f t="shared" si="19"/>
        <v>0.31460035723754237</v>
      </c>
      <c r="AA72">
        <v>2017</v>
      </c>
      <c r="AB72">
        <v>1</v>
      </c>
      <c r="AC72">
        <v>15000000</v>
      </c>
    </row>
    <row r="73" spans="1:29" x14ac:dyDescent="0.2">
      <c r="A73">
        <v>494</v>
      </c>
      <c r="B73" t="s">
        <v>51</v>
      </c>
      <c r="C73">
        <v>17</v>
      </c>
      <c r="D73">
        <v>1326</v>
      </c>
      <c r="E73">
        <v>3</v>
      </c>
      <c r="F73" s="2">
        <f t="shared" si="10"/>
        <v>0.20361990950226247</v>
      </c>
      <c r="G73" s="2">
        <v>2.1125836037099361</v>
      </c>
      <c r="H73" s="2">
        <f t="shared" si="11"/>
        <v>0.14338802740112688</v>
      </c>
      <c r="I73">
        <v>0</v>
      </c>
      <c r="J73" s="2">
        <f t="shared" si="12"/>
        <v>0</v>
      </c>
      <c r="K73" s="2">
        <v>0.120159599930048</v>
      </c>
      <c r="L73" s="2">
        <f t="shared" si="13"/>
        <v>8.1556289545281456E-3</v>
      </c>
      <c r="M73">
        <v>5</v>
      </c>
      <c r="N73" s="2">
        <f t="shared" si="14"/>
        <v>0.33936651583710409</v>
      </c>
      <c r="O73">
        <v>2</v>
      </c>
      <c r="P73" s="2">
        <f t="shared" si="15"/>
        <v>0.13574660633484165</v>
      </c>
      <c r="Q73" t="s">
        <v>224</v>
      </c>
      <c r="R73" t="s">
        <v>28</v>
      </c>
      <c r="S73">
        <v>3</v>
      </c>
      <c r="T73" s="2">
        <f t="shared" si="16"/>
        <v>0.20361990950226247</v>
      </c>
      <c r="U73" s="2">
        <v>2.1125836037099361</v>
      </c>
      <c r="V73" s="2">
        <f t="shared" si="17"/>
        <v>0.14338802740112688</v>
      </c>
      <c r="W73" s="2">
        <v>3.8857893161475658</v>
      </c>
      <c r="X73" s="2">
        <f t="shared" si="18"/>
        <v>0.26374135629960854</v>
      </c>
      <c r="Y73" s="2">
        <v>3.8510306179523468</v>
      </c>
      <c r="Z73" s="2">
        <f t="shared" si="19"/>
        <v>0.26138216863929958</v>
      </c>
      <c r="AA73">
        <v>2018</v>
      </c>
      <c r="AB73">
        <v>1</v>
      </c>
      <c r="AC73">
        <v>8000000</v>
      </c>
    </row>
    <row r="74" spans="1:29" x14ac:dyDescent="0.2">
      <c r="A74">
        <v>495</v>
      </c>
      <c r="B74" t="s">
        <v>52</v>
      </c>
      <c r="C74">
        <v>37</v>
      </c>
      <c r="D74">
        <v>3247</v>
      </c>
      <c r="E74">
        <v>0</v>
      </c>
      <c r="F74" s="2">
        <f t="shared" si="10"/>
        <v>0</v>
      </c>
      <c r="G74" s="2">
        <v>0.91003899276256561</v>
      </c>
      <c r="H74" s="2">
        <f t="shared" si="11"/>
        <v>2.5224363827727411E-2</v>
      </c>
      <c r="I74">
        <v>3</v>
      </c>
      <c r="J74" s="2">
        <f t="shared" si="12"/>
        <v>8.3153680320295659E-2</v>
      </c>
      <c r="K74" s="2">
        <v>2.911943500861526</v>
      </c>
      <c r="L74" s="2">
        <f t="shared" si="13"/>
        <v>8.0712939660467303E-2</v>
      </c>
      <c r="M74">
        <v>12</v>
      </c>
      <c r="N74" s="2">
        <f t="shared" si="14"/>
        <v>0.33261472128118263</v>
      </c>
      <c r="O74">
        <v>28</v>
      </c>
      <c r="P74" s="2">
        <f t="shared" si="15"/>
        <v>0.77610101632275941</v>
      </c>
      <c r="Q74" t="s">
        <v>224</v>
      </c>
      <c r="R74" t="s">
        <v>28</v>
      </c>
      <c r="S74">
        <v>0</v>
      </c>
      <c r="T74" s="2">
        <f t="shared" si="16"/>
        <v>0</v>
      </c>
      <c r="U74" s="2">
        <v>0.91003899276256561</v>
      </c>
      <c r="V74" s="2">
        <f t="shared" si="17"/>
        <v>2.5224363827727411E-2</v>
      </c>
      <c r="W74" s="2">
        <v>17.691032681614161</v>
      </c>
      <c r="X74" s="2">
        <f t="shared" si="18"/>
        <v>0.49035815871428223</v>
      </c>
      <c r="Y74" s="2">
        <v>15.249321714043621</v>
      </c>
      <c r="Z74" s="2">
        <f t="shared" si="19"/>
        <v>0.4226790743036421</v>
      </c>
      <c r="AA74">
        <v>2015</v>
      </c>
      <c r="AB74">
        <v>0</v>
      </c>
      <c r="AC74">
        <v>15000000</v>
      </c>
    </row>
    <row r="75" spans="1:29" x14ac:dyDescent="0.2">
      <c r="A75">
        <v>495</v>
      </c>
      <c r="B75" t="s">
        <v>52</v>
      </c>
      <c r="C75">
        <v>36</v>
      </c>
      <c r="D75">
        <v>3152</v>
      </c>
      <c r="E75">
        <v>0</v>
      </c>
      <c r="F75" s="2">
        <f t="shared" si="10"/>
        <v>0</v>
      </c>
      <c r="G75" s="2">
        <v>1.1331041110679509</v>
      </c>
      <c r="H75" s="2">
        <f t="shared" si="11"/>
        <v>3.2353861039376777E-2</v>
      </c>
      <c r="I75">
        <v>2</v>
      </c>
      <c r="J75" s="2">
        <f t="shared" si="12"/>
        <v>5.7106598984771571E-2</v>
      </c>
      <c r="K75" s="2">
        <v>1.930552009493113</v>
      </c>
      <c r="L75" s="2">
        <f t="shared" si="13"/>
        <v>5.5123629712684065E-2</v>
      </c>
      <c r="M75">
        <v>12</v>
      </c>
      <c r="N75" s="2">
        <f t="shared" si="14"/>
        <v>0.34263959390862947</v>
      </c>
      <c r="O75">
        <v>12</v>
      </c>
      <c r="P75" s="2">
        <f t="shared" si="15"/>
        <v>0.34263959390862947</v>
      </c>
      <c r="Q75" s="3" t="s">
        <v>224</v>
      </c>
      <c r="R75" t="s">
        <v>28</v>
      </c>
      <c r="S75">
        <v>0</v>
      </c>
      <c r="T75" s="2">
        <f t="shared" si="16"/>
        <v>0</v>
      </c>
      <c r="U75" s="2">
        <v>1.1331041110679509</v>
      </c>
      <c r="V75" s="2">
        <f t="shared" si="17"/>
        <v>3.2353861039376777E-2</v>
      </c>
      <c r="W75" s="2">
        <v>11.072828330099579</v>
      </c>
      <c r="X75" s="2">
        <f t="shared" si="18"/>
        <v>0.31616578353710728</v>
      </c>
      <c r="Y75" s="2">
        <v>9.2171055153012276</v>
      </c>
      <c r="Z75" s="2">
        <f t="shared" si="19"/>
        <v>0.26317877423131675</v>
      </c>
      <c r="AA75">
        <v>2016</v>
      </c>
      <c r="AB75">
        <v>0</v>
      </c>
      <c r="AC75">
        <v>13000000</v>
      </c>
    </row>
    <row r="76" spans="1:29" x14ac:dyDescent="0.2">
      <c r="A76">
        <v>495</v>
      </c>
      <c r="B76" t="s">
        <v>52</v>
      </c>
      <c r="C76">
        <v>28</v>
      </c>
      <c r="D76">
        <v>2246</v>
      </c>
      <c r="E76">
        <v>5</v>
      </c>
      <c r="F76" s="2">
        <f t="shared" si="10"/>
        <v>0.20035618878005343</v>
      </c>
      <c r="G76" s="2">
        <v>1.902514301240444</v>
      </c>
      <c r="H76" s="2">
        <f t="shared" si="11"/>
        <v>7.6236102899216368E-2</v>
      </c>
      <c r="I76">
        <v>2</v>
      </c>
      <c r="J76" s="2">
        <f t="shared" si="12"/>
        <v>8.0142475512021374E-2</v>
      </c>
      <c r="K76" s="2">
        <v>3.013729577884078</v>
      </c>
      <c r="L76" s="2">
        <f t="shared" si="13"/>
        <v>0.12076387444771462</v>
      </c>
      <c r="M76">
        <v>21</v>
      </c>
      <c r="N76" s="2">
        <f t="shared" si="14"/>
        <v>0.84149599287622445</v>
      </c>
      <c r="O76">
        <v>13</v>
      </c>
      <c r="P76" s="2">
        <f t="shared" si="15"/>
        <v>0.5209260908281389</v>
      </c>
      <c r="Q76" s="3" t="s">
        <v>224</v>
      </c>
      <c r="R76" t="s">
        <v>28</v>
      </c>
      <c r="S76">
        <v>5</v>
      </c>
      <c r="T76" s="2">
        <f t="shared" si="16"/>
        <v>0.20035618878005343</v>
      </c>
      <c r="U76" s="2">
        <v>1.902514301240444</v>
      </c>
      <c r="V76" s="2">
        <f t="shared" si="17"/>
        <v>7.6236102899216368E-2</v>
      </c>
      <c r="W76" s="2">
        <v>10.207653785124419</v>
      </c>
      <c r="X76" s="2">
        <f t="shared" si="18"/>
        <v>0.40903332175476304</v>
      </c>
      <c r="Y76" s="2">
        <v>8.5519521962851286</v>
      </c>
      <c r="Z76" s="2">
        <f t="shared" si="19"/>
        <v>0.34268730973537914</v>
      </c>
      <c r="AA76">
        <v>2017</v>
      </c>
      <c r="AB76">
        <v>1</v>
      </c>
      <c r="AC76">
        <v>13000000</v>
      </c>
    </row>
    <row r="77" spans="1:29" x14ac:dyDescent="0.2">
      <c r="A77">
        <v>495</v>
      </c>
      <c r="B77" t="s">
        <v>52</v>
      </c>
      <c r="C77">
        <v>22</v>
      </c>
      <c r="D77">
        <v>1857</v>
      </c>
      <c r="E77">
        <v>1</v>
      </c>
      <c r="F77" s="2">
        <f t="shared" si="10"/>
        <v>4.8465266558966075E-2</v>
      </c>
      <c r="G77" s="2">
        <v>1.228454826399684</v>
      </c>
      <c r="H77" s="2">
        <f t="shared" si="11"/>
        <v>5.9537390617109075E-2</v>
      </c>
      <c r="I77">
        <v>3</v>
      </c>
      <c r="J77" s="2">
        <f t="shared" si="12"/>
        <v>0.14539579967689822</v>
      </c>
      <c r="K77" s="2">
        <v>2.0089628277346492</v>
      </c>
      <c r="L77" s="2">
        <f t="shared" si="13"/>
        <v>9.7364918953214016E-2</v>
      </c>
      <c r="M77">
        <v>7</v>
      </c>
      <c r="N77" s="2">
        <f t="shared" si="14"/>
        <v>0.33925686591276255</v>
      </c>
      <c r="O77">
        <v>11</v>
      </c>
      <c r="P77" s="2">
        <f t="shared" si="15"/>
        <v>0.53311793214862679</v>
      </c>
      <c r="Q77" s="3" t="s">
        <v>224</v>
      </c>
      <c r="R77" t="s">
        <v>28</v>
      </c>
      <c r="S77">
        <v>1</v>
      </c>
      <c r="T77" s="2">
        <f t="shared" si="16"/>
        <v>4.8465266558966075E-2</v>
      </c>
      <c r="U77" s="2">
        <v>1.228454826399684</v>
      </c>
      <c r="V77" s="2">
        <f t="shared" si="17"/>
        <v>5.9537390617109075E-2</v>
      </c>
      <c r="W77" s="2">
        <v>8.7304473780095577</v>
      </c>
      <c r="X77" s="2">
        <f t="shared" si="18"/>
        <v>0.42312345935425971</v>
      </c>
      <c r="Y77" s="2">
        <v>6.2693409295752636</v>
      </c>
      <c r="Z77" s="2">
        <f t="shared" si="19"/>
        <v>0.30384527930090127</v>
      </c>
      <c r="AA77">
        <v>2018</v>
      </c>
      <c r="AB77">
        <v>1</v>
      </c>
      <c r="AC77">
        <v>8000000</v>
      </c>
    </row>
    <row r="78" spans="1:29" x14ac:dyDescent="0.2">
      <c r="A78">
        <v>499</v>
      </c>
      <c r="B78" t="s">
        <v>53</v>
      </c>
      <c r="C78">
        <v>35</v>
      </c>
      <c r="D78">
        <v>3065</v>
      </c>
      <c r="E78">
        <v>6</v>
      </c>
      <c r="F78" s="2">
        <f t="shared" si="10"/>
        <v>0.17618270799347471</v>
      </c>
      <c r="G78" s="2">
        <v>7.9231729451566926</v>
      </c>
      <c r="H78" s="2">
        <f t="shared" si="11"/>
        <v>0.23265434422972342</v>
      </c>
      <c r="I78">
        <v>19</v>
      </c>
      <c r="J78" s="2">
        <f t="shared" si="12"/>
        <v>0.55791190864600326</v>
      </c>
      <c r="K78" s="2">
        <v>17.618861105293039</v>
      </c>
      <c r="L78" s="2">
        <f t="shared" si="13"/>
        <v>0.51735644354857213</v>
      </c>
      <c r="M78">
        <v>48</v>
      </c>
      <c r="N78" s="2">
        <f t="shared" si="14"/>
        <v>1.4094616639477977</v>
      </c>
      <c r="O78">
        <v>146</v>
      </c>
      <c r="P78" s="2">
        <f t="shared" si="15"/>
        <v>4.2871125611745509</v>
      </c>
      <c r="Q78" t="s">
        <v>223</v>
      </c>
      <c r="R78" t="s">
        <v>28</v>
      </c>
      <c r="S78">
        <v>6</v>
      </c>
      <c r="T78" s="2">
        <f t="shared" si="16"/>
        <v>0.17618270799347471</v>
      </c>
      <c r="U78" s="2">
        <v>7.9231729451566926</v>
      </c>
      <c r="V78" s="2">
        <f t="shared" si="17"/>
        <v>0.23265434422972342</v>
      </c>
      <c r="W78" s="2">
        <v>32.786004299297929</v>
      </c>
      <c r="X78" s="2">
        <f t="shared" si="18"/>
        <v>0.96272117028933568</v>
      </c>
      <c r="Y78" s="2">
        <v>18.351203271187838</v>
      </c>
      <c r="Z78" s="2">
        <f t="shared" si="19"/>
        <v>0.53886078120943082</v>
      </c>
      <c r="AA78">
        <v>2015</v>
      </c>
      <c r="AB78">
        <v>0</v>
      </c>
      <c r="AC78">
        <v>50000000</v>
      </c>
    </row>
    <row r="79" spans="1:29" x14ac:dyDescent="0.2">
      <c r="A79">
        <v>499</v>
      </c>
      <c r="B79" t="s">
        <v>53</v>
      </c>
      <c r="C79">
        <v>33</v>
      </c>
      <c r="D79">
        <v>2856</v>
      </c>
      <c r="E79">
        <v>8</v>
      </c>
      <c r="F79" s="2">
        <f t="shared" si="10"/>
        <v>0.25210084033613445</v>
      </c>
      <c r="G79" s="2">
        <v>5.6065614782273769</v>
      </c>
      <c r="H79" s="2">
        <f t="shared" si="11"/>
        <v>0.17667735750716523</v>
      </c>
      <c r="I79">
        <v>9</v>
      </c>
      <c r="J79" s="2">
        <f t="shared" si="12"/>
        <v>0.28361344537815125</v>
      </c>
      <c r="K79" s="2">
        <v>8.0704623907804489</v>
      </c>
      <c r="L79" s="2">
        <f t="shared" si="13"/>
        <v>0.25432129382711499</v>
      </c>
      <c r="M79">
        <v>40</v>
      </c>
      <c r="N79" s="2">
        <f t="shared" si="14"/>
        <v>1.2605042016806722</v>
      </c>
      <c r="O79">
        <v>100</v>
      </c>
      <c r="P79" s="2">
        <f t="shared" si="15"/>
        <v>3.1512605042016806</v>
      </c>
      <c r="Q79" t="s">
        <v>223</v>
      </c>
      <c r="R79" t="s">
        <v>28</v>
      </c>
      <c r="S79">
        <v>8</v>
      </c>
      <c r="T79" s="2">
        <f t="shared" si="16"/>
        <v>0.25210084033613445</v>
      </c>
      <c r="U79" s="2">
        <v>5.6065614782273769</v>
      </c>
      <c r="V79" s="2">
        <f t="shared" si="17"/>
        <v>0.17667735750716523</v>
      </c>
      <c r="W79" s="2">
        <v>22.842761974781752</v>
      </c>
      <c r="X79" s="2">
        <f t="shared" si="18"/>
        <v>0.71983493618009731</v>
      </c>
      <c r="Y79" s="2">
        <v>14.728370394557709</v>
      </c>
      <c r="Z79" s="2">
        <f t="shared" si="19"/>
        <v>0.46412931915623035</v>
      </c>
      <c r="AA79">
        <v>2016</v>
      </c>
      <c r="AB79">
        <v>0</v>
      </c>
      <c r="AC79">
        <v>50000000</v>
      </c>
    </row>
    <row r="80" spans="1:29" x14ac:dyDescent="0.2">
      <c r="A80">
        <v>499</v>
      </c>
      <c r="B80" t="s">
        <v>53</v>
      </c>
      <c r="C80">
        <v>26</v>
      </c>
      <c r="D80">
        <v>2166</v>
      </c>
      <c r="E80">
        <v>4</v>
      </c>
      <c r="F80" s="2">
        <f t="shared" si="10"/>
        <v>0.16620498614958448</v>
      </c>
      <c r="G80" s="2">
        <v>4.3919810522347689</v>
      </c>
      <c r="H80" s="2">
        <f t="shared" si="11"/>
        <v>0.1824922874889793</v>
      </c>
      <c r="I80">
        <v>8</v>
      </c>
      <c r="J80" s="2">
        <f t="shared" si="12"/>
        <v>0.33240997229916897</v>
      </c>
      <c r="K80" s="2">
        <v>9.1288504675030708</v>
      </c>
      <c r="L80" s="2">
        <f t="shared" si="13"/>
        <v>0.37931511637824394</v>
      </c>
      <c r="M80">
        <v>39</v>
      </c>
      <c r="N80" s="2">
        <f t="shared" si="14"/>
        <v>1.6204986149584488</v>
      </c>
      <c r="O80">
        <v>84</v>
      </c>
      <c r="P80" s="2">
        <f t="shared" si="15"/>
        <v>3.4903047091412742</v>
      </c>
      <c r="Q80" t="s">
        <v>223</v>
      </c>
      <c r="R80" t="s">
        <v>28</v>
      </c>
      <c r="S80">
        <v>4</v>
      </c>
      <c r="T80" s="2">
        <f t="shared" si="16"/>
        <v>0.16620498614958448</v>
      </c>
      <c r="U80" s="2">
        <v>4.3919810522347689</v>
      </c>
      <c r="V80" s="2">
        <f t="shared" si="17"/>
        <v>0.1824922874889793</v>
      </c>
      <c r="W80" s="2">
        <v>21.609494753181931</v>
      </c>
      <c r="X80" s="2">
        <f t="shared" si="18"/>
        <v>0.89790144403803041</v>
      </c>
      <c r="Y80" s="2">
        <v>14.733471548184751</v>
      </c>
      <c r="Z80" s="2">
        <f t="shared" si="19"/>
        <v>0.61219410865033586</v>
      </c>
      <c r="AA80">
        <v>2017</v>
      </c>
      <c r="AB80">
        <v>1</v>
      </c>
      <c r="AC80">
        <v>45000000</v>
      </c>
    </row>
    <row r="81" spans="1:29" x14ac:dyDescent="0.2">
      <c r="A81">
        <v>499</v>
      </c>
      <c r="B81" t="s">
        <v>53</v>
      </c>
      <c r="C81">
        <v>24</v>
      </c>
      <c r="D81">
        <v>1751</v>
      </c>
      <c r="E81">
        <v>5</v>
      </c>
      <c r="F81" s="2">
        <f t="shared" si="10"/>
        <v>0.25699600228440889</v>
      </c>
      <c r="G81" s="2">
        <v>2.2260220944881439</v>
      </c>
      <c r="H81" s="2">
        <f t="shared" si="11"/>
        <v>0.11441575585604395</v>
      </c>
      <c r="I81">
        <v>2</v>
      </c>
      <c r="J81" s="2">
        <f t="shared" si="12"/>
        <v>0.10279840091376356</v>
      </c>
      <c r="K81" s="2">
        <v>4.2901376076042652</v>
      </c>
      <c r="L81" s="2">
        <f t="shared" si="13"/>
        <v>0.22050964288085889</v>
      </c>
      <c r="M81">
        <v>11</v>
      </c>
      <c r="N81" s="2">
        <f t="shared" si="14"/>
        <v>0.56539120502569962</v>
      </c>
      <c r="O81">
        <v>45</v>
      </c>
      <c r="P81" s="2">
        <f t="shared" si="15"/>
        <v>2.3129640205596802</v>
      </c>
      <c r="Q81" t="s">
        <v>223</v>
      </c>
      <c r="R81" t="s">
        <v>28</v>
      </c>
      <c r="S81">
        <v>5</v>
      </c>
      <c r="T81" s="2">
        <f t="shared" si="16"/>
        <v>0.25699600228440889</v>
      </c>
      <c r="U81" s="2">
        <v>2.2260220944881439</v>
      </c>
      <c r="V81" s="2">
        <f t="shared" si="17"/>
        <v>0.11441575585604395</v>
      </c>
      <c r="W81" s="2">
        <v>11.98287896998227</v>
      </c>
      <c r="X81" s="2">
        <f t="shared" si="18"/>
        <v>0.61591039822867177</v>
      </c>
      <c r="Y81" s="2">
        <v>8.0608362574130297</v>
      </c>
      <c r="Z81" s="2">
        <f t="shared" si="19"/>
        <v>0.41432053864487306</v>
      </c>
      <c r="AA81">
        <v>2018</v>
      </c>
      <c r="AB81">
        <v>1</v>
      </c>
      <c r="AC81">
        <v>25000000</v>
      </c>
    </row>
    <row r="82" spans="1:29" x14ac:dyDescent="0.2">
      <c r="A82">
        <v>500</v>
      </c>
      <c r="B82" t="s">
        <v>54</v>
      </c>
      <c r="C82">
        <v>13</v>
      </c>
      <c r="D82">
        <v>639</v>
      </c>
      <c r="E82">
        <v>2</v>
      </c>
      <c r="F82" s="2">
        <f t="shared" si="10"/>
        <v>0.28169014084507044</v>
      </c>
      <c r="G82" s="2">
        <v>1.5485198199748991</v>
      </c>
      <c r="H82" s="2">
        <f t="shared" si="11"/>
        <v>0.21810138309505622</v>
      </c>
      <c r="I82">
        <v>2</v>
      </c>
      <c r="J82" s="2">
        <f t="shared" si="12"/>
        <v>0.28169014084507044</v>
      </c>
      <c r="K82" s="2">
        <v>1.511021710932255</v>
      </c>
      <c r="L82" s="2">
        <f t="shared" si="13"/>
        <v>0.2128199592862331</v>
      </c>
      <c r="M82">
        <v>15</v>
      </c>
      <c r="N82" s="2">
        <f t="shared" si="14"/>
        <v>2.112676056338028</v>
      </c>
      <c r="O82">
        <v>12</v>
      </c>
      <c r="P82" s="2">
        <f t="shared" si="15"/>
        <v>1.6901408450704225</v>
      </c>
      <c r="Q82" t="s">
        <v>222</v>
      </c>
      <c r="R82" t="s">
        <v>28</v>
      </c>
      <c r="S82">
        <v>2</v>
      </c>
      <c r="T82" s="2">
        <f t="shared" si="16"/>
        <v>0.28169014084507044</v>
      </c>
      <c r="U82" s="2">
        <v>1.5485198199748991</v>
      </c>
      <c r="V82" s="2">
        <f t="shared" si="17"/>
        <v>0.21810138309505622</v>
      </c>
      <c r="W82" s="2">
        <v>5.3242236897349358</v>
      </c>
      <c r="X82" s="2">
        <f t="shared" si="18"/>
        <v>0.74989066052604736</v>
      </c>
      <c r="Y82" s="2">
        <v>3.206701472401619</v>
      </c>
      <c r="Z82" s="2">
        <f t="shared" si="19"/>
        <v>0.45164809470445338</v>
      </c>
      <c r="AA82">
        <v>2015</v>
      </c>
      <c r="AB82">
        <v>0</v>
      </c>
      <c r="AC82">
        <v>1000000</v>
      </c>
    </row>
    <row r="83" spans="1:29" x14ac:dyDescent="0.2">
      <c r="A83">
        <v>500</v>
      </c>
      <c r="B83" t="s">
        <v>54</v>
      </c>
      <c r="C83">
        <v>26</v>
      </c>
      <c r="D83">
        <v>1471</v>
      </c>
      <c r="E83">
        <v>3</v>
      </c>
      <c r="F83" s="2">
        <f t="shared" si="10"/>
        <v>0.18354860639021076</v>
      </c>
      <c r="G83" s="2">
        <v>3.227379996329546</v>
      </c>
      <c r="H83" s="2">
        <f t="shared" si="11"/>
        <v>0.19746036687264387</v>
      </c>
      <c r="I83">
        <v>3</v>
      </c>
      <c r="J83" s="2">
        <f t="shared" si="12"/>
        <v>0.18354860639021076</v>
      </c>
      <c r="K83" s="2">
        <v>2.215060723945498</v>
      </c>
      <c r="L83" s="2">
        <f t="shared" si="13"/>
        <v>0.13552376964996249</v>
      </c>
      <c r="M83">
        <v>39</v>
      </c>
      <c r="N83" s="2">
        <f t="shared" si="14"/>
        <v>2.3861318830727396</v>
      </c>
      <c r="O83">
        <v>26</v>
      </c>
      <c r="P83" s="2">
        <f t="shared" si="15"/>
        <v>1.5907545887151597</v>
      </c>
      <c r="Q83" t="s">
        <v>222</v>
      </c>
      <c r="R83" t="s">
        <v>28</v>
      </c>
      <c r="S83">
        <v>3</v>
      </c>
      <c r="T83" s="2">
        <f t="shared" si="16"/>
        <v>0.18354860639021076</v>
      </c>
      <c r="U83" s="2">
        <v>3.227379996329546</v>
      </c>
      <c r="V83" s="2">
        <f t="shared" si="17"/>
        <v>0.19746036687264387</v>
      </c>
      <c r="W83" s="2">
        <v>9.3531724587082863</v>
      </c>
      <c r="X83" s="2">
        <f t="shared" si="18"/>
        <v>0.57225392337440228</v>
      </c>
      <c r="Y83" s="2">
        <v>5.6317964568734169</v>
      </c>
      <c r="Z83" s="2">
        <f t="shared" si="19"/>
        <v>0.34456946371081409</v>
      </c>
      <c r="AA83">
        <v>2016</v>
      </c>
      <c r="AB83">
        <v>0</v>
      </c>
      <c r="AC83">
        <v>10000000</v>
      </c>
    </row>
    <row r="84" spans="1:29" x14ac:dyDescent="0.2">
      <c r="A84">
        <v>500</v>
      </c>
      <c r="B84" t="s">
        <v>54</v>
      </c>
      <c r="C84">
        <v>26</v>
      </c>
      <c r="D84">
        <v>1873</v>
      </c>
      <c r="E84">
        <v>3</v>
      </c>
      <c r="F84" s="2">
        <f t="shared" si="10"/>
        <v>0.14415376401494928</v>
      </c>
      <c r="G84" s="2">
        <v>4.132385391741991</v>
      </c>
      <c r="H84" s="2">
        <f t="shared" si="11"/>
        <v>0.1985663028599996</v>
      </c>
      <c r="I84">
        <v>5</v>
      </c>
      <c r="J84" s="2">
        <f t="shared" si="12"/>
        <v>0.24025627335824881</v>
      </c>
      <c r="K84" s="2">
        <v>3.485801180824637</v>
      </c>
      <c r="L84" s="2">
        <f t="shared" si="13"/>
        <v>0.16749712027454208</v>
      </c>
      <c r="M84">
        <v>45</v>
      </c>
      <c r="N84" s="2">
        <f t="shared" si="14"/>
        <v>2.1623064602242392</v>
      </c>
      <c r="O84">
        <v>36</v>
      </c>
      <c r="P84" s="2">
        <f t="shared" si="15"/>
        <v>1.7298451681793914</v>
      </c>
      <c r="Q84" t="s">
        <v>222</v>
      </c>
      <c r="R84" t="s">
        <v>28</v>
      </c>
      <c r="S84">
        <v>3</v>
      </c>
      <c r="T84" s="2">
        <f t="shared" si="16"/>
        <v>0.14415376401494928</v>
      </c>
      <c r="U84" s="2">
        <v>4.132385391741991</v>
      </c>
      <c r="V84" s="2">
        <f t="shared" si="17"/>
        <v>0.1985663028599996</v>
      </c>
      <c r="W84" s="2">
        <v>17.14904880523682</v>
      </c>
      <c r="X84" s="2">
        <f t="shared" si="18"/>
        <v>0.82403331151698544</v>
      </c>
      <c r="Y84" s="2">
        <v>11.71952578984201</v>
      </c>
      <c r="Z84" s="2">
        <f t="shared" si="19"/>
        <v>0.56313791835866567</v>
      </c>
      <c r="AA84">
        <v>2017</v>
      </c>
      <c r="AB84">
        <v>1</v>
      </c>
      <c r="AC84">
        <v>15000000</v>
      </c>
    </row>
    <row r="85" spans="1:29" x14ac:dyDescent="0.2">
      <c r="A85">
        <v>500</v>
      </c>
      <c r="B85" t="s">
        <v>54</v>
      </c>
      <c r="C85">
        <v>35</v>
      </c>
      <c r="D85">
        <v>1974</v>
      </c>
      <c r="E85">
        <v>3</v>
      </c>
      <c r="F85" s="2">
        <f t="shared" si="10"/>
        <v>0.13677811550151975</v>
      </c>
      <c r="G85" s="2">
        <v>3.7199746686965218</v>
      </c>
      <c r="H85" s="2">
        <f t="shared" si="11"/>
        <v>0.16960370829923352</v>
      </c>
      <c r="I85">
        <v>6</v>
      </c>
      <c r="J85" s="2">
        <f t="shared" si="12"/>
        <v>0.2735562310030395</v>
      </c>
      <c r="K85" s="2">
        <v>7.6374220866709948</v>
      </c>
      <c r="L85" s="2">
        <f t="shared" si="13"/>
        <v>0.34821073343484776</v>
      </c>
      <c r="M85">
        <v>35</v>
      </c>
      <c r="N85" s="2">
        <f t="shared" si="14"/>
        <v>1.595744680851064</v>
      </c>
      <c r="O85">
        <v>40</v>
      </c>
      <c r="P85" s="2">
        <f t="shared" si="15"/>
        <v>1.8237082066869301</v>
      </c>
      <c r="Q85" t="s">
        <v>222</v>
      </c>
      <c r="R85" t="s">
        <v>28</v>
      </c>
      <c r="S85">
        <v>3</v>
      </c>
      <c r="T85" s="2">
        <f t="shared" si="16"/>
        <v>0.13677811550151975</v>
      </c>
      <c r="U85" s="2">
        <v>3.7199746686965218</v>
      </c>
      <c r="V85" s="2">
        <f t="shared" si="17"/>
        <v>0.16960370829923352</v>
      </c>
      <c r="W85" s="2">
        <v>18.207131139934059</v>
      </c>
      <c r="X85" s="2">
        <f t="shared" si="18"/>
        <v>0.83011236200307259</v>
      </c>
      <c r="Y85" s="2">
        <v>9.5611948501318693</v>
      </c>
      <c r="Z85" s="2">
        <f t="shared" si="19"/>
        <v>0.4359207378479576</v>
      </c>
      <c r="AA85">
        <v>2018</v>
      </c>
      <c r="AB85">
        <v>1</v>
      </c>
      <c r="AC85">
        <v>25000000</v>
      </c>
    </row>
    <row r="86" spans="1:29" x14ac:dyDescent="0.2">
      <c r="A86">
        <v>502</v>
      </c>
      <c r="B86" t="s">
        <v>55</v>
      </c>
      <c r="C86">
        <v>17</v>
      </c>
      <c r="D86">
        <v>750</v>
      </c>
      <c r="E86">
        <v>4</v>
      </c>
      <c r="F86" s="2">
        <f t="shared" si="10"/>
        <v>0.48</v>
      </c>
      <c r="G86" s="2">
        <v>5.0704178139567384</v>
      </c>
      <c r="H86" s="2">
        <f t="shared" si="11"/>
        <v>0.6084501376748086</v>
      </c>
      <c r="I86">
        <v>0</v>
      </c>
      <c r="J86" s="2">
        <f t="shared" si="12"/>
        <v>0</v>
      </c>
      <c r="K86" s="2">
        <v>1.1757979393005371</v>
      </c>
      <c r="L86" s="2">
        <f t="shared" si="13"/>
        <v>0.14109575271606445</v>
      </c>
      <c r="M86">
        <v>29</v>
      </c>
      <c r="N86" s="2">
        <f t="shared" si="14"/>
        <v>3.48</v>
      </c>
      <c r="O86">
        <v>6</v>
      </c>
      <c r="P86" s="2">
        <f t="shared" si="15"/>
        <v>0.72</v>
      </c>
      <c r="Q86" t="s">
        <v>222</v>
      </c>
      <c r="R86" t="s">
        <v>56</v>
      </c>
      <c r="S86">
        <v>4</v>
      </c>
      <c r="T86" s="2">
        <f t="shared" si="16"/>
        <v>0.48</v>
      </c>
      <c r="U86" s="2">
        <v>5.0704178139567384</v>
      </c>
      <c r="V86" s="2">
        <f t="shared" si="17"/>
        <v>0.6084501376748086</v>
      </c>
      <c r="W86" s="2">
        <v>5.2454923950135708</v>
      </c>
      <c r="X86" s="2">
        <f t="shared" si="18"/>
        <v>0.62945908740162848</v>
      </c>
      <c r="Y86" s="2">
        <v>1.7113378066569569</v>
      </c>
      <c r="Z86" s="2">
        <f t="shared" si="19"/>
        <v>0.20536053679883481</v>
      </c>
      <c r="AA86">
        <v>2020</v>
      </c>
      <c r="AB86">
        <v>0</v>
      </c>
      <c r="AC86">
        <v>4000000</v>
      </c>
    </row>
    <row r="87" spans="1:29" x14ac:dyDescent="0.2">
      <c r="A87">
        <v>502</v>
      </c>
      <c r="B87" t="s">
        <v>55</v>
      </c>
      <c r="C87">
        <v>29</v>
      </c>
      <c r="D87">
        <v>1927</v>
      </c>
      <c r="E87">
        <v>11</v>
      </c>
      <c r="F87" s="2">
        <f t="shared" si="10"/>
        <v>0.51375194603009855</v>
      </c>
      <c r="G87" s="2">
        <v>11.48990032449365</v>
      </c>
      <c r="H87" s="2">
        <f t="shared" si="11"/>
        <v>0.53663260467277041</v>
      </c>
      <c r="I87">
        <v>3</v>
      </c>
      <c r="J87" s="2">
        <f t="shared" si="12"/>
        <v>0.14011416709911781</v>
      </c>
      <c r="K87" s="2">
        <v>2.9010907076299191</v>
      </c>
      <c r="L87" s="2">
        <f t="shared" si="13"/>
        <v>0.13549463605951881</v>
      </c>
      <c r="M87">
        <v>63</v>
      </c>
      <c r="N87" s="2">
        <f t="shared" si="14"/>
        <v>2.942397509081474</v>
      </c>
      <c r="O87">
        <v>26</v>
      </c>
      <c r="P87" s="2">
        <f t="shared" si="15"/>
        <v>1.2143227815256876</v>
      </c>
      <c r="Q87" t="s">
        <v>222</v>
      </c>
      <c r="R87" t="s">
        <v>57</v>
      </c>
      <c r="S87">
        <v>9</v>
      </c>
      <c r="T87" s="2">
        <f t="shared" si="16"/>
        <v>0.4203425012973534</v>
      </c>
      <c r="U87" s="2">
        <v>9.9673022963106632</v>
      </c>
      <c r="V87" s="2">
        <f t="shared" si="17"/>
        <v>0.4655200864908976</v>
      </c>
      <c r="W87" s="2">
        <v>12.086555399000639</v>
      </c>
      <c r="X87" s="2">
        <f t="shared" si="18"/>
        <v>0.56449921427610661</v>
      </c>
      <c r="Y87" s="2">
        <v>3.4983242135494952</v>
      </c>
      <c r="Z87" s="2">
        <f t="shared" si="19"/>
        <v>0.16338826114138794</v>
      </c>
      <c r="AA87">
        <v>2021</v>
      </c>
      <c r="AB87">
        <v>0</v>
      </c>
      <c r="AC87">
        <v>4000000</v>
      </c>
    </row>
    <row r="88" spans="1:29" x14ac:dyDescent="0.2">
      <c r="A88">
        <v>502</v>
      </c>
      <c r="B88" t="s">
        <v>55</v>
      </c>
      <c r="C88">
        <v>33</v>
      </c>
      <c r="D88">
        <v>2166</v>
      </c>
      <c r="E88">
        <v>13</v>
      </c>
      <c r="F88" s="2">
        <f t="shared" si="10"/>
        <v>0.54016620498614953</v>
      </c>
      <c r="G88" s="2">
        <v>15.180027283728119</v>
      </c>
      <c r="H88" s="2">
        <f t="shared" si="11"/>
        <v>0.63074905611058663</v>
      </c>
      <c r="I88">
        <v>5</v>
      </c>
      <c r="J88" s="2">
        <f t="shared" si="12"/>
        <v>0.20775623268698062</v>
      </c>
      <c r="K88" s="2">
        <v>5.8395652500912547</v>
      </c>
      <c r="L88" s="2">
        <f t="shared" si="13"/>
        <v>0.24264121537775296</v>
      </c>
      <c r="M88">
        <v>81</v>
      </c>
      <c r="N88" s="2">
        <f t="shared" si="14"/>
        <v>3.3656509695290855</v>
      </c>
      <c r="O88">
        <v>24</v>
      </c>
      <c r="P88" s="2">
        <f t="shared" si="15"/>
        <v>0.99722991689750695</v>
      </c>
      <c r="Q88" t="s">
        <v>222</v>
      </c>
      <c r="R88" t="s">
        <v>57</v>
      </c>
      <c r="S88">
        <v>10</v>
      </c>
      <c r="T88" s="2">
        <f t="shared" si="16"/>
        <v>0.41551246537396125</v>
      </c>
      <c r="U88" s="2">
        <v>12.89613555371761</v>
      </c>
      <c r="V88" s="2">
        <f t="shared" si="17"/>
        <v>0.53585050777219978</v>
      </c>
      <c r="W88" s="2">
        <v>18.150510312989351</v>
      </c>
      <c r="X88" s="2">
        <f t="shared" si="18"/>
        <v>0.75417632879457142</v>
      </c>
      <c r="Y88" s="2">
        <v>5.0174844823777676</v>
      </c>
      <c r="Z88" s="2">
        <f t="shared" si="19"/>
        <v>0.20848273472483797</v>
      </c>
      <c r="AA88">
        <v>2022</v>
      </c>
      <c r="AB88">
        <v>1</v>
      </c>
      <c r="AC88">
        <v>4000000</v>
      </c>
    </row>
    <row r="89" spans="1:29" x14ac:dyDescent="0.2">
      <c r="A89">
        <v>502</v>
      </c>
      <c r="B89" t="s">
        <v>55</v>
      </c>
      <c r="C89">
        <v>35</v>
      </c>
      <c r="D89">
        <v>2397</v>
      </c>
      <c r="E89">
        <v>15</v>
      </c>
      <c r="F89" s="2">
        <f t="shared" si="10"/>
        <v>0.56320400500625778</v>
      </c>
      <c r="G89" s="2">
        <v>15.563342081382871</v>
      </c>
      <c r="H89" s="2">
        <f t="shared" si="11"/>
        <v>0.58435577276781747</v>
      </c>
      <c r="I89">
        <v>8</v>
      </c>
      <c r="J89" s="2">
        <f t="shared" si="12"/>
        <v>0.30037546933667081</v>
      </c>
      <c r="K89" s="2">
        <v>5.820083811879158</v>
      </c>
      <c r="L89" s="2">
        <f t="shared" si="13"/>
        <v>0.2185263008214953</v>
      </c>
      <c r="M89">
        <v>77</v>
      </c>
      <c r="N89" s="2">
        <f t="shared" si="14"/>
        <v>2.8911138923654569</v>
      </c>
      <c r="O89">
        <v>32</v>
      </c>
      <c r="P89" s="2">
        <f t="shared" si="15"/>
        <v>1.2015018773466832</v>
      </c>
      <c r="Q89" t="s">
        <v>222</v>
      </c>
      <c r="R89" t="s">
        <v>57</v>
      </c>
      <c r="S89">
        <v>11</v>
      </c>
      <c r="T89" s="2">
        <f t="shared" si="16"/>
        <v>0.41301627033792243</v>
      </c>
      <c r="U89" s="2">
        <v>11.756847977638239</v>
      </c>
      <c r="V89" s="2">
        <f t="shared" si="17"/>
        <v>0.44143359115037195</v>
      </c>
      <c r="W89" s="2">
        <v>15.760634485632179</v>
      </c>
      <c r="X89" s="2">
        <f t="shared" si="18"/>
        <v>0.59176349758318569</v>
      </c>
      <c r="Y89" s="2">
        <v>2.2560079544782639</v>
      </c>
      <c r="Z89" s="2">
        <f t="shared" si="19"/>
        <v>8.4706181019208904E-2</v>
      </c>
      <c r="AA89">
        <v>2023</v>
      </c>
      <c r="AB89">
        <v>1</v>
      </c>
      <c r="AC89">
        <v>3000000</v>
      </c>
    </row>
    <row r="90" spans="1:29" x14ac:dyDescent="0.2">
      <c r="A90">
        <v>504</v>
      </c>
      <c r="B90" t="s">
        <v>58</v>
      </c>
      <c r="C90">
        <v>31</v>
      </c>
      <c r="D90">
        <v>2624</v>
      </c>
      <c r="E90">
        <v>5</v>
      </c>
      <c r="F90" s="2">
        <f t="shared" si="10"/>
        <v>0.17149390243902438</v>
      </c>
      <c r="G90" s="2">
        <v>8.6143225561827421</v>
      </c>
      <c r="H90" s="2">
        <f t="shared" si="11"/>
        <v>0.29546075840565811</v>
      </c>
      <c r="I90">
        <v>4</v>
      </c>
      <c r="J90" s="2">
        <f t="shared" si="12"/>
        <v>0.13719512195121952</v>
      </c>
      <c r="K90" s="2">
        <v>4.0462417062371969</v>
      </c>
      <c r="L90" s="2">
        <f t="shared" si="13"/>
        <v>0.1387811560828307</v>
      </c>
      <c r="M90">
        <v>69</v>
      </c>
      <c r="N90" s="2">
        <f t="shared" si="14"/>
        <v>2.3666158536585367</v>
      </c>
      <c r="O90">
        <v>37</v>
      </c>
      <c r="P90" s="2">
        <f t="shared" si="15"/>
        <v>1.2690548780487805</v>
      </c>
      <c r="Q90" t="s">
        <v>223</v>
      </c>
      <c r="R90" t="s">
        <v>28</v>
      </c>
      <c r="S90">
        <v>5</v>
      </c>
      <c r="T90" s="2">
        <f t="shared" si="16"/>
        <v>0.17149390243902438</v>
      </c>
      <c r="U90" s="2">
        <v>8.6143225561827421</v>
      </c>
      <c r="V90" s="2">
        <f t="shared" si="17"/>
        <v>0.29546075840565811</v>
      </c>
      <c r="W90" s="2">
        <v>23.282566286623481</v>
      </c>
      <c r="X90" s="2">
        <f t="shared" si="18"/>
        <v>0.79856363025766508</v>
      </c>
      <c r="Y90" s="2">
        <v>14.17644389718771</v>
      </c>
      <c r="Z90" s="2">
        <f t="shared" si="19"/>
        <v>0.48623473732732236</v>
      </c>
      <c r="AA90">
        <v>2015</v>
      </c>
      <c r="AB90">
        <v>0</v>
      </c>
      <c r="AC90">
        <v>30000000</v>
      </c>
    </row>
    <row r="91" spans="1:29" x14ac:dyDescent="0.2">
      <c r="A91">
        <v>504</v>
      </c>
      <c r="B91" t="s">
        <v>58</v>
      </c>
      <c r="C91">
        <v>23</v>
      </c>
      <c r="D91">
        <v>1212</v>
      </c>
      <c r="E91">
        <v>1</v>
      </c>
      <c r="F91" s="2">
        <f t="shared" si="10"/>
        <v>7.4257425742574254E-2</v>
      </c>
      <c r="G91" s="2">
        <v>3.5057571204379201</v>
      </c>
      <c r="H91" s="2">
        <f t="shared" si="11"/>
        <v>0.26032849904241978</v>
      </c>
      <c r="I91">
        <v>4</v>
      </c>
      <c r="J91" s="2">
        <f t="shared" si="12"/>
        <v>0.29702970297029702</v>
      </c>
      <c r="K91" s="2">
        <v>4.4323903061449528</v>
      </c>
      <c r="L91" s="2">
        <f t="shared" si="13"/>
        <v>0.32913789402066479</v>
      </c>
      <c r="M91">
        <v>42</v>
      </c>
      <c r="N91" s="2">
        <f t="shared" si="14"/>
        <v>3.1188118811881189</v>
      </c>
      <c r="O91">
        <v>23</v>
      </c>
      <c r="P91" s="2">
        <f t="shared" si="15"/>
        <v>1.7079207920792079</v>
      </c>
      <c r="Q91" t="s">
        <v>223</v>
      </c>
      <c r="R91" t="s">
        <v>28</v>
      </c>
      <c r="S91">
        <v>1</v>
      </c>
      <c r="T91" s="2">
        <f t="shared" si="16"/>
        <v>7.4257425742574254E-2</v>
      </c>
      <c r="U91" s="2">
        <v>3.5057571204379201</v>
      </c>
      <c r="V91" s="2">
        <f t="shared" si="17"/>
        <v>0.26032849904241978</v>
      </c>
      <c r="W91" s="2">
        <v>11.1321330666542</v>
      </c>
      <c r="X91" s="2">
        <f t="shared" si="18"/>
        <v>0.82664354455352973</v>
      </c>
      <c r="Y91" s="2">
        <v>5.2943104822188616</v>
      </c>
      <c r="Z91" s="2">
        <f t="shared" si="19"/>
        <v>0.39314186749149965</v>
      </c>
      <c r="AA91">
        <v>2016</v>
      </c>
      <c r="AB91">
        <v>0</v>
      </c>
      <c r="AC91">
        <v>35000000</v>
      </c>
    </row>
    <row r="92" spans="1:29" x14ac:dyDescent="0.2">
      <c r="A92">
        <v>504</v>
      </c>
      <c r="B92" t="s">
        <v>58</v>
      </c>
      <c r="C92">
        <v>24</v>
      </c>
      <c r="D92">
        <v>1849</v>
      </c>
      <c r="E92">
        <v>7</v>
      </c>
      <c r="F92" s="2">
        <f t="shared" si="10"/>
        <v>0.34072471606273663</v>
      </c>
      <c r="G92" s="2">
        <v>6.8407651297748089</v>
      </c>
      <c r="H92" s="2">
        <f t="shared" si="11"/>
        <v>0.33297396521348449</v>
      </c>
      <c r="I92">
        <v>8</v>
      </c>
      <c r="J92" s="2">
        <f t="shared" si="12"/>
        <v>0.38939967550027044</v>
      </c>
      <c r="K92" s="2">
        <v>5.9224765449762344</v>
      </c>
      <c r="L92" s="2">
        <f t="shared" si="13"/>
        <v>0.28827630559646356</v>
      </c>
      <c r="M92">
        <v>56</v>
      </c>
      <c r="N92" s="2">
        <f t="shared" si="14"/>
        <v>2.7257977285018931</v>
      </c>
      <c r="O92">
        <v>28</v>
      </c>
      <c r="P92" s="2">
        <f t="shared" si="15"/>
        <v>1.3628988642509465</v>
      </c>
      <c r="Q92" t="s">
        <v>223</v>
      </c>
      <c r="R92" t="s">
        <v>28</v>
      </c>
      <c r="S92">
        <v>7</v>
      </c>
      <c r="T92" s="2">
        <f t="shared" si="16"/>
        <v>0.34072471606273663</v>
      </c>
      <c r="U92" s="2">
        <v>6.8407651297748089</v>
      </c>
      <c r="V92" s="2">
        <f t="shared" si="17"/>
        <v>0.33297396521348449</v>
      </c>
      <c r="W92" s="2">
        <v>19.13114408403635</v>
      </c>
      <c r="X92" s="2">
        <f t="shared" si="18"/>
        <v>0.93120766228408414</v>
      </c>
      <c r="Y92" s="2">
        <v>11.19359630346298</v>
      </c>
      <c r="Z92" s="2">
        <f t="shared" si="19"/>
        <v>0.54484784603118885</v>
      </c>
      <c r="AA92">
        <v>2017</v>
      </c>
      <c r="AB92">
        <v>1</v>
      </c>
      <c r="AC92">
        <v>45000000</v>
      </c>
    </row>
    <row r="93" spans="1:29" x14ac:dyDescent="0.2">
      <c r="A93">
        <v>504</v>
      </c>
      <c r="B93" t="s">
        <v>58</v>
      </c>
      <c r="C93">
        <v>28</v>
      </c>
      <c r="D93">
        <v>1326</v>
      </c>
      <c r="E93">
        <v>4</v>
      </c>
      <c r="F93" s="2">
        <f t="shared" si="10"/>
        <v>0.27149321266968329</v>
      </c>
      <c r="G93" s="2">
        <v>3.7076626317575569</v>
      </c>
      <c r="H93" s="2">
        <f t="shared" si="11"/>
        <v>0.25165130984779799</v>
      </c>
      <c r="I93">
        <v>6</v>
      </c>
      <c r="J93" s="2">
        <f t="shared" si="12"/>
        <v>0.40723981900452494</v>
      </c>
      <c r="K93" s="2">
        <v>2.3036546036601071</v>
      </c>
      <c r="L93" s="2">
        <f t="shared" si="13"/>
        <v>0.15635664730724708</v>
      </c>
      <c r="M93">
        <v>33</v>
      </c>
      <c r="N93" s="2">
        <f t="shared" si="14"/>
        <v>2.2398190045248869</v>
      </c>
      <c r="O93">
        <v>25</v>
      </c>
      <c r="P93" s="2">
        <f t="shared" si="15"/>
        <v>1.6968325791855203</v>
      </c>
      <c r="Q93" t="s">
        <v>223</v>
      </c>
      <c r="R93" t="s">
        <v>28</v>
      </c>
      <c r="S93">
        <v>4</v>
      </c>
      <c r="T93" s="2">
        <f t="shared" si="16"/>
        <v>0.27149321266968329</v>
      </c>
      <c r="U93" s="2">
        <v>3.7076626317575569</v>
      </c>
      <c r="V93" s="2">
        <f t="shared" si="17"/>
        <v>0.25165130984779799</v>
      </c>
      <c r="W93" s="2">
        <v>8.9514810033142567</v>
      </c>
      <c r="X93" s="2">
        <f t="shared" si="18"/>
        <v>0.60756658393535679</v>
      </c>
      <c r="Y93" s="2">
        <v>3.683660376816988</v>
      </c>
      <c r="Z93" s="2">
        <f t="shared" si="19"/>
        <v>0.25002219752151505</v>
      </c>
      <c r="AA93">
        <v>2018</v>
      </c>
      <c r="AB93">
        <v>1</v>
      </c>
      <c r="AC93">
        <v>40000000</v>
      </c>
    </row>
    <row r="94" spans="1:29" x14ac:dyDescent="0.2">
      <c r="A94">
        <v>522</v>
      </c>
      <c r="B94" t="s">
        <v>59</v>
      </c>
      <c r="C94">
        <v>34</v>
      </c>
      <c r="D94">
        <v>3046</v>
      </c>
      <c r="E94">
        <v>10</v>
      </c>
      <c r="F94" s="2">
        <f t="shared" si="10"/>
        <v>0.29546946815495734</v>
      </c>
      <c r="G94" s="2">
        <v>6.4907633755356073</v>
      </c>
      <c r="H94" s="2">
        <f t="shared" si="11"/>
        <v>0.19178224024891816</v>
      </c>
      <c r="I94">
        <v>5</v>
      </c>
      <c r="J94" s="2">
        <f t="shared" si="12"/>
        <v>0.14773473407747867</v>
      </c>
      <c r="K94" s="2">
        <v>5.4043346270918846</v>
      </c>
      <c r="L94" s="2">
        <f t="shared" si="13"/>
        <v>0.15968158779982589</v>
      </c>
      <c r="M94">
        <v>73</v>
      </c>
      <c r="N94" s="2">
        <f t="shared" si="14"/>
        <v>2.1569271175311884</v>
      </c>
      <c r="O94">
        <v>54</v>
      </c>
      <c r="P94" s="2">
        <f t="shared" si="15"/>
        <v>1.5955351280367696</v>
      </c>
      <c r="Q94" t="s">
        <v>222</v>
      </c>
      <c r="R94" t="s">
        <v>60</v>
      </c>
      <c r="S94">
        <v>10</v>
      </c>
      <c r="T94" s="2">
        <f t="shared" si="16"/>
        <v>0.29546946815495734</v>
      </c>
      <c r="U94" s="2">
        <v>6.4907633755356073</v>
      </c>
      <c r="V94" s="2">
        <f t="shared" si="17"/>
        <v>0.19178224024891816</v>
      </c>
      <c r="W94" s="2">
        <v>16.55854376219213</v>
      </c>
      <c r="X94" s="2">
        <f t="shared" si="18"/>
        <v>0.48925441188354951</v>
      </c>
      <c r="Y94" s="2">
        <v>7.0368692371994257</v>
      </c>
      <c r="Z94" s="2">
        <f t="shared" si="19"/>
        <v>0.20791800109912947</v>
      </c>
      <c r="AA94">
        <v>2018</v>
      </c>
      <c r="AB94">
        <v>0</v>
      </c>
      <c r="AC94">
        <v>45000000</v>
      </c>
    </row>
    <row r="95" spans="1:29" x14ac:dyDescent="0.2">
      <c r="A95">
        <v>522</v>
      </c>
      <c r="B95" t="s">
        <v>59</v>
      </c>
      <c r="C95">
        <v>38</v>
      </c>
      <c r="D95">
        <v>3276</v>
      </c>
      <c r="E95">
        <v>4</v>
      </c>
      <c r="F95" s="2">
        <f t="shared" si="10"/>
        <v>0.10989010989010989</v>
      </c>
      <c r="G95" s="2">
        <v>4.9326626565307379</v>
      </c>
      <c r="H95" s="2">
        <f t="shared" si="11"/>
        <v>0.13551271034425105</v>
      </c>
      <c r="I95">
        <v>3</v>
      </c>
      <c r="J95" s="2">
        <f t="shared" si="12"/>
        <v>8.2417582417582416E-2</v>
      </c>
      <c r="K95" s="2">
        <v>3.7442302405834198</v>
      </c>
      <c r="L95" s="2">
        <f t="shared" si="13"/>
        <v>0.10286346814789615</v>
      </c>
      <c r="M95">
        <v>61</v>
      </c>
      <c r="N95" s="2">
        <f t="shared" si="14"/>
        <v>1.6758241758241759</v>
      </c>
      <c r="O95">
        <v>37</v>
      </c>
      <c r="P95" s="2">
        <f t="shared" si="15"/>
        <v>1.0164835164835164</v>
      </c>
      <c r="Q95" t="s">
        <v>222</v>
      </c>
      <c r="R95" t="s">
        <v>60</v>
      </c>
      <c r="S95">
        <v>4</v>
      </c>
      <c r="T95" s="2">
        <f t="shared" si="16"/>
        <v>0.10989010989010989</v>
      </c>
      <c r="U95" s="2">
        <v>4.9326626565307379</v>
      </c>
      <c r="V95" s="2">
        <f t="shared" si="17"/>
        <v>0.13551271034425105</v>
      </c>
      <c r="W95" s="2">
        <v>11.829813878983259</v>
      </c>
      <c r="X95" s="2">
        <f t="shared" si="18"/>
        <v>0.3249948867852544</v>
      </c>
      <c r="Y95" s="2">
        <v>4.5895094685256481</v>
      </c>
      <c r="Z95" s="2">
        <f t="shared" si="19"/>
        <v>0.12608542495949585</v>
      </c>
      <c r="AA95">
        <v>2019</v>
      </c>
      <c r="AB95">
        <v>0</v>
      </c>
      <c r="AC95">
        <v>44000000</v>
      </c>
    </row>
    <row r="96" spans="1:29" x14ac:dyDescent="0.2">
      <c r="A96">
        <v>522</v>
      </c>
      <c r="B96" t="s">
        <v>59</v>
      </c>
      <c r="C96">
        <v>30</v>
      </c>
      <c r="D96">
        <v>2615</v>
      </c>
      <c r="E96">
        <v>11</v>
      </c>
      <c r="F96" s="2">
        <f t="shared" si="10"/>
        <v>0.37858508604206498</v>
      </c>
      <c r="G96" s="2">
        <v>8.8044464215636253</v>
      </c>
      <c r="H96" s="2">
        <f t="shared" si="11"/>
        <v>0.30302110055094694</v>
      </c>
      <c r="I96">
        <v>2</v>
      </c>
      <c r="J96" s="2">
        <f t="shared" si="12"/>
        <v>6.8833652007648183E-2</v>
      </c>
      <c r="K96" s="2">
        <v>3.7028177306056018</v>
      </c>
      <c r="L96" s="2">
        <f t="shared" si="13"/>
        <v>0.12743923355812778</v>
      </c>
      <c r="M96">
        <v>60</v>
      </c>
      <c r="N96" s="2">
        <f t="shared" si="14"/>
        <v>2.0650095602294454</v>
      </c>
      <c r="O96">
        <v>30</v>
      </c>
      <c r="P96" s="2">
        <f t="shared" si="15"/>
        <v>1.0325047801147227</v>
      </c>
      <c r="Q96" t="s">
        <v>222</v>
      </c>
      <c r="R96" t="s">
        <v>60</v>
      </c>
      <c r="S96">
        <v>9</v>
      </c>
      <c r="T96" s="2">
        <f t="shared" si="16"/>
        <v>0.30975143403441685</v>
      </c>
      <c r="U96" s="2">
        <v>7.2821083888411522</v>
      </c>
      <c r="V96" s="2">
        <f t="shared" si="17"/>
        <v>0.25062705735973373</v>
      </c>
      <c r="W96" s="2">
        <v>13.57947018370032</v>
      </c>
      <c r="X96" s="2">
        <f t="shared" si="18"/>
        <v>0.46736226253653107</v>
      </c>
      <c r="Y96" s="2">
        <v>3.6344375163316731</v>
      </c>
      <c r="Z96" s="2">
        <f t="shared" si="19"/>
        <v>0.12508580362135777</v>
      </c>
      <c r="AA96">
        <v>2020</v>
      </c>
      <c r="AB96">
        <v>1</v>
      </c>
      <c r="AC96">
        <v>45000000</v>
      </c>
    </row>
    <row r="97" spans="1:29" x14ac:dyDescent="0.2">
      <c r="A97">
        <v>522</v>
      </c>
      <c r="B97" t="s">
        <v>59</v>
      </c>
      <c r="C97">
        <v>33</v>
      </c>
      <c r="D97">
        <v>2762</v>
      </c>
      <c r="E97">
        <v>14</v>
      </c>
      <c r="F97" s="2">
        <f t="shared" si="10"/>
        <v>0.45619116582186819</v>
      </c>
      <c r="G97" s="2">
        <v>10.184118073433639</v>
      </c>
      <c r="H97" s="2">
        <f t="shared" si="11"/>
        <v>0.33185033548480358</v>
      </c>
      <c r="I97">
        <v>1</v>
      </c>
      <c r="J97" s="2">
        <f t="shared" si="12"/>
        <v>3.2585083272990582E-2</v>
      </c>
      <c r="K97" s="2">
        <v>4.8932161461561918</v>
      </c>
      <c r="L97" s="2">
        <f t="shared" si="13"/>
        <v>0.1594458555952416</v>
      </c>
      <c r="M97">
        <v>69</v>
      </c>
      <c r="N97" s="2">
        <f t="shared" si="14"/>
        <v>2.2483707458363504</v>
      </c>
      <c r="O97">
        <v>46</v>
      </c>
      <c r="P97" s="2">
        <f t="shared" si="15"/>
        <v>1.4989138305575669</v>
      </c>
      <c r="Q97" t="s">
        <v>222</v>
      </c>
      <c r="R97" t="s">
        <v>60</v>
      </c>
      <c r="S97">
        <v>9</v>
      </c>
      <c r="T97" s="2">
        <f t="shared" si="16"/>
        <v>0.2932657494569153</v>
      </c>
      <c r="U97" s="2">
        <v>4.8559365961700678</v>
      </c>
      <c r="V97" s="2">
        <f t="shared" si="17"/>
        <v>0.15823109835456411</v>
      </c>
      <c r="W97" s="2">
        <v>12.10089787095785</v>
      </c>
      <c r="X97" s="2">
        <f t="shared" si="18"/>
        <v>0.394308764803116</v>
      </c>
      <c r="Y97" s="2">
        <v>3.8086952473968259</v>
      </c>
      <c r="Z97" s="2">
        <f t="shared" si="19"/>
        <v>0.12410665179786906</v>
      </c>
      <c r="AA97">
        <v>2021</v>
      </c>
      <c r="AB97">
        <v>1</v>
      </c>
      <c r="AC97">
        <v>38000000</v>
      </c>
    </row>
    <row r="98" spans="1:29" x14ac:dyDescent="0.2">
      <c r="A98">
        <v>528</v>
      </c>
      <c r="B98" t="s">
        <v>61</v>
      </c>
      <c r="C98">
        <v>28</v>
      </c>
      <c r="D98">
        <v>2493</v>
      </c>
      <c r="E98">
        <v>3</v>
      </c>
      <c r="F98" s="2">
        <f t="shared" si="10"/>
        <v>0.10830324909747292</v>
      </c>
      <c r="G98" s="2">
        <v>1.696074194274843</v>
      </c>
      <c r="H98" s="2">
        <f t="shared" si="11"/>
        <v>6.1230115316781332E-2</v>
      </c>
      <c r="I98">
        <v>0</v>
      </c>
      <c r="J98" s="2">
        <f t="shared" si="12"/>
        <v>0</v>
      </c>
      <c r="K98" s="2">
        <v>0.42847081087529659</v>
      </c>
      <c r="L98" s="2">
        <f t="shared" si="13"/>
        <v>1.5468260320407819E-2</v>
      </c>
      <c r="M98">
        <v>13</v>
      </c>
      <c r="N98" s="2">
        <f t="shared" si="14"/>
        <v>0.46931407942238262</v>
      </c>
      <c r="O98">
        <v>4</v>
      </c>
      <c r="P98" s="2">
        <f t="shared" si="15"/>
        <v>0.1444043321299639</v>
      </c>
      <c r="Q98" t="s">
        <v>224</v>
      </c>
      <c r="R98" t="s">
        <v>62</v>
      </c>
      <c r="S98">
        <v>3</v>
      </c>
      <c r="T98" s="2">
        <f t="shared" si="16"/>
        <v>0.10830324909747292</v>
      </c>
      <c r="U98" s="2">
        <v>1.696074194274843</v>
      </c>
      <c r="V98" s="2">
        <f t="shared" si="17"/>
        <v>6.1230115316781332E-2</v>
      </c>
      <c r="W98" s="2">
        <v>4.0078419856727123</v>
      </c>
      <c r="X98" s="2">
        <f t="shared" si="18"/>
        <v>0.14468743630587408</v>
      </c>
      <c r="Y98" s="2">
        <v>3.785347294062376</v>
      </c>
      <c r="Z98" s="2">
        <f t="shared" si="19"/>
        <v>0.13665513696976087</v>
      </c>
      <c r="AA98">
        <v>2020</v>
      </c>
      <c r="AB98">
        <v>0</v>
      </c>
      <c r="AC98">
        <v>2500000</v>
      </c>
    </row>
    <row r="99" spans="1:29" x14ac:dyDescent="0.2">
      <c r="A99">
        <v>528</v>
      </c>
      <c r="B99" t="s">
        <v>61</v>
      </c>
      <c r="C99">
        <v>11</v>
      </c>
      <c r="D99">
        <v>921</v>
      </c>
      <c r="E99">
        <v>1</v>
      </c>
      <c r="F99" s="2">
        <f t="shared" si="10"/>
        <v>9.7719869706840393E-2</v>
      </c>
      <c r="G99" s="2">
        <v>0.61171961203217506</v>
      </c>
      <c r="H99" s="2">
        <f t="shared" si="11"/>
        <v>5.9777160784903104E-2</v>
      </c>
      <c r="I99">
        <v>0</v>
      </c>
      <c r="J99" s="2">
        <f t="shared" si="12"/>
        <v>0</v>
      </c>
      <c r="K99" s="2">
        <v>0</v>
      </c>
      <c r="L99" s="2">
        <f t="shared" si="13"/>
        <v>0</v>
      </c>
      <c r="M99">
        <v>3</v>
      </c>
      <c r="N99" s="2">
        <f t="shared" si="14"/>
        <v>0.29315960912052119</v>
      </c>
      <c r="O99">
        <v>0</v>
      </c>
      <c r="P99" s="2">
        <f t="shared" si="15"/>
        <v>0</v>
      </c>
      <c r="Q99" t="s">
        <v>224</v>
      </c>
      <c r="R99" t="s">
        <v>62</v>
      </c>
      <c r="S99">
        <v>1</v>
      </c>
      <c r="T99" s="2">
        <f t="shared" si="16"/>
        <v>9.7719869706840393E-2</v>
      </c>
      <c r="U99" s="2">
        <v>0.61171961203217506</v>
      </c>
      <c r="V99" s="2">
        <f t="shared" si="17"/>
        <v>5.9777160784903104E-2</v>
      </c>
      <c r="W99" s="2">
        <v>1.0062169972807169</v>
      </c>
      <c r="X99" s="2">
        <f t="shared" si="18"/>
        <v>9.8327393871079832E-2</v>
      </c>
      <c r="Y99" s="2">
        <v>0.95520699210464965</v>
      </c>
      <c r="Z99" s="2">
        <f t="shared" si="19"/>
        <v>9.3342702811529288E-2</v>
      </c>
      <c r="AA99">
        <v>2021</v>
      </c>
      <c r="AB99">
        <v>0</v>
      </c>
      <c r="AC99">
        <v>1200000</v>
      </c>
    </row>
    <row r="100" spans="1:29" x14ac:dyDescent="0.2">
      <c r="A100">
        <v>528</v>
      </c>
      <c r="B100" t="s">
        <v>61</v>
      </c>
      <c r="C100">
        <v>16</v>
      </c>
      <c r="D100">
        <v>1235</v>
      </c>
      <c r="E100">
        <v>0</v>
      </c>
      <c r="F100" s="2">
        <f t="shared" si="10"/>
        <v>0</v>
      </c>
      <c r="G100" s="2">
        <v>0.20921169593930239</v>
      </c>
      <c r="H100" s="2">
        <f t="shared" si="11"/>
        <v>1.5246196465212318E-2</v>
      </c>
      <c r="I100">
        <v>0</v>
      </c>
      <c r="J100" s="2">
        <f t="shared" si="12"/>
        <v>0</v>
      </c>
      <c r="K100" s="2">
        <v>0.48939493857324118</v>
      </c>
      <c r="L100" s="2">
        <f t="shared" si="13"/>
        <v>3.5664408479021623E-2</v>
      </c>
      <c r="M100">
        <v>3</v>
      </c>
      <c r="N100" s="2">
        <f t="shared" si="14"/>
        <v>0.21862348178137653</v>
      </c>
      <c r="O100">
        <v>3</v>
      </c>
      <c r="P100" s="2">
        <f t="shared" si="15"/>
        <v>0.21862348178137653</v>
      </c>
      <c r="Q100" t="s">
        <v>224</v>
      </c>
      <c r="R100" t="s">
        <v>62</v>
      </c>
      <c r="S100">
        <v>0</v>
      </c>
      <c r="T100" s="2">
        <f t="shared" si="16"/>
        <v>0</v>
      </c>
      <c r="U100" s="2">
        <v>0.20921169593930239</v>
      </c>
      <c r="V100" s="2">
        <f t="shared" si="17"/>
        <v>1.5246196465212318E-2</v>
      </c>
      <c r="W100" s="2">
        <v>1.701007179915905</v>
      </c>
      <c r="X100" s="2">
        <f t="shared" si="18"/>
        <v>0.1239600374027785</v>
      </c>
      <c r="Y100" s="2">
        <v>1.1259163338691001</v>
      </c>
      <c r="Z100" s="2">
        <f t="shared" si="19"/>
        <v>8.2050583034995142E-2</v>
      </c>
      <c r="AA100">
        <v>2022</v>
      </c>
      <c r="AB100">
        <v>1</v>
      </c>
      <c r="AC100">
        <v>900000</v>
      </c>
    </row>
    <row r="101" spans="1:29" x14ac:dyDescent="0.2">
      <c r="A101">
        <v>528</v>
      </c>
      <c r="B101" t="s">
        <v>61</v>
      </c>
      <c r="C101">
        <v>11</v>
      </c>
      <c r="D101">
        <v>629</v>
      </c>
      <c r="E101">
        <v>0</v>
      </c>
      <c r="F101" s="2">
        <f t="shared" si="10"/>
        <v>0</v>
      </c>
      <c r="G101" s="2">
        <v>4.0679696947336197E-2</v>
      </c>
      <c r="H101" s="2">
        <f t="shared" si="11"/>
        <v>5.8206243644837166E-3</v>
      </c>
      <c r="I101">
        <v>0</v>
      </c>
      <c r="J101" s="2">
        <f t="shared" si="12"/>
        <v>0</v>
      </c>
      <c r="K101" s="2">
        <v>0</v>
      </c>
      <c r="L101" s="2">
        <f t="shared" si="13"/>
        <v>0</v>
      </c>
      <c r="M101">
        <v>1</v>
      </c>
      <c r="N101" s="2">
        <f t="shared" si="14"/>
        <v>0.14308426073131955</v>
      </c>
      <c r="O101">
        <v>0</v>
      </c>
      <c r="P101" s="2">
        <f t="shared" si="15"/>
        <v>0</v>
      </c>
      <c r="Q101" t="s">
        <v>224</v>
      </c>
      <c r="R101" t="s">
        <v>62</v>
      </c>
      <c r="S101">
        <v>0</v>
      </c>
      <c r="T101" s="2">
        <f t="shared" si="16"/>
        <v>0</v>
      </c>
      <c r="U101" s="2">
        <v>4.0679696947336197E-2</v>
      </c>
      <c r="V101" s="2">
        <f t="shared" si="17"/>
        <v>5.8206243644837166E-3</v>
      </c>
      <c r="W101" s="2">
        <v>0.2121387161314488</v>
      </c>
      <c r="X101" s="2">
        <f t="shared" si="18"/>
        <v>3.0353711370159606E-2</v>
      </c>
      <c r="Y101" s="2">
        <v>0.17145901918411249</v>
      </c>
      <c r="Z101" s="2">
        <f t="shared" si="19"/>
        <v>2.4533087005675875E-2</v>
      </c>
      <c r="AA101">
        <v>2023</v>
      </c>
      <c r="AB101">
        <v>1</v>
      </c>
      <c r="AC101">
        <v>700000</v>
      </c>
    </row>
    <row r="102" spans="1:29" x14ac:dyDescent="0.2">
      <c r="A102">
        <v>531</v>
      </c>
      <c r="B102" t="s">
        <v>63</v>
      </c>
      <c r="C102">
        <v>26</v>
      </c>
      <c r="D102">
        <v>1993</v>
      </c>
      <c r="E102">
        <v>10</v>
      </c>
      <c r="F102" s="2">
        <f t="shared" si="10"/>
        <v>0.45158053186151531</v>
      </c>
      <c r="G102" s="2">
        <v>14.138836644589899</v>
      </c>
      <c r="H102" s="2">
        <f t="shared" si="11"/>
        <v>0.63848233718669889</v>
      </c>
      <c r="I102">
        <v>5</v>
      </c>
      <c r="J102" s="2">
        <f t="shared" si="12"/>
        <v>0.22579026593075766</v>
      </c>
      <c r="K102" s="2">
        <v>3.1944222245365381</v>
      </c>
      <c r="L102" s="2">
        <f t="shared" si="13"/>
        <v>0.14425388871464548</v>
      </c>
      <c r="M102">
        <v>63</v>
      </c>
      <c r="N102" s="2">
        <f t="shared" si="14"/>
        <v>2.8449573507275461</v>
      </c>
      <c r="O102">
        <v>27</v>
      </c>
      <c r="P102" s="2">
        <f t="shared" si="15"/>
        <v>1.2192674360260913</v>
      </c>
      <c r="Q102" t="s">
        <v>222</v>
      </c>
      <c r="R102" t="s">
        <v>62</v>
      </c>
      <c r="S102">
        <v>10</v>
      </c>
      <c r="T102" s="2">
        <f t="shared" si="16"/>
        <v>0.45158053186151531</v>
      </c>
      <c r="U102" s="2">
        <v>14.138836644589899</v>
      </c>
      <c r="V102" s="2">
        <f t="shared" si="17"/>
        <v>0.63848233718669889</v>
      </c>
      <c r="W102" s="2">
        <v>19.273817138746381</v>
      </c>
      <c r="X102" s="2">
        <f t="shared" si="18"/>
        <v>0.87036805945166806</v>
      </c>
      <c r="Y102" s="2">
        <v>2.7705205250531439</v>
      </c>
      <c r="Z102" s="2">
        <f t="shared" si="19"/>
        <v>0.12511131322367433</v>
      </c>
      <c r="AA102">
        <v>2020</v>
      </c>
      <c r="AB102">
        <v>0</v>
      </c>
      <c r="AC102">
        <v>12000000</v>
      </c>
    </row>
    <row r="103" spans="1:29" x14ac:dyDescent="0.2">
      <c r="A103">
        <v>531</v>
      </c>
      <c r="B103" t="s">
        <v>63</v>
      </c>
      <c r="C103">
        <v>36</v>
      </c>
      <c r="D103">
        <v>2994</v>
      </c>
      <c r="E103">
        <v>10</v>
      </c>
      <c r="F103" s="2">
        <f t="shared" si="10"/>
        <v>0.30060120240480964</v>
      </c>
      <c r="G103" s="2">
        <v>12.788629919290541</v>
      </c>
      <c r="H103" s="2">
        <f t="shared" si="11"/>
        <v>0.38442775308488597</v>
      </c>
      <c r="I103">
        <v>8</v>
      </c>
      <c r="J103" s="2">
        <f t="shared" si="12"/>
        <v>0.24048096192384771</v>
      </c>
      <c r="K103" s="2">
        <v>5.7671405784785748</v>
      </c>
      <c r="L103" s="2">
        <f t="shared" si="13"/>
        <v>0.17336093923282289</v>
      </c>
      <c r="M103">
        <v>83</v>
      </c>
      <c r="N103" s="2">
        <f t="shared" si="14"/>
        <v>2.4949899799599198</v>
      </c>
      <c r="O103">
        <v>46</v>
      </c>
      <c r="P103" s="2">
        <f t="shared" si="15"/>
        <v>1.3827655310621241</v>
      </c>
      <c r="Q103" t="s">
        <v>222</v>
      </c>
      <c r="R103" t="s">
        <v>62</v>
      </c>
      <c r="S103">
        <v>10</v>
      </c>
      <c r="T103" s="2">
        <f t="shared" si="16"/>
        <v>0.30060120240480964</v>
      </c>
      <c r="U103" s="2">
        <v>12.027457922697071</v>
      </c>
      <c r="V103" s="2">
        <f t="shared" si="17"/>
        <v>0.36154683134359933</v>
      </c>
      <c r="W103" s="2">
        <v>21.074032761156559</v>
      </c>
      <c r="X103" s="2">
        <f t="shared" si="18"/>
        <v>0.6334879587522011</v>
      </c>
      <c r="Y103" s="2">
        <v>6.6519344393163919</v>
      </c>
      <c r="Z103" s="2">
        <f t="shared" si="19"/>
        <v>0.19995794907764705</v>
      </c>
      <c r="AA103">
        <v>2021</v>
      </c>
      <c r="AB103">
        <v>0</v>
      </c>
      <c r="AC103">
        <v>10000000</v>
      </c>
    </row>
    <row r="104" spans="1:29" x14ac:dyDescent="0.2">
      <c r="A104">
        <v>531</v>
      </c>
      <c r="B104" t="s">
        <v>63</v>
      </c>
      <c r="C104">
        <v>33</v>
      </c>
      <c r="D104">
        <v>1847</v>
      </c>
      <c r="E104">
        <v>5</v>
      </c>
      <c r="F104" s="2">
        <f t="shared" si="10"/>
        <v>0.24363833243096913</v>
      </c>
      <c r="G104" s="2">
        <v>7.2018651571124792</v>
      </c>
      <c r="H104" s="2">
        <f t="shared" si="11"/>
        <v>0.35093008345431681</v>
      </c>
      <c r="I104">
        <v>3</v>
      </c>
      <c r="J104" s="2">
        <f t="shared" si="12"/>
        <v>0.14618299945858149</v>
      </c>
      <c r="K104" s="2">
        <v>1.6608268171548839</v>
      </c>
      <c r="L104" s="2">
        <f t="shared" si="13"/>
        <v>8.0928215237650009E-2</v>
      </c>
      <c r="M104">
        <v>39</v>
      </c>
      <c r="N104" s="2">
        <f t="shared" si="14"/>
        <v>1.9003789929615593</v>
      </c>
      <c r="O104">
        <v>15</v>
      </c>
      <c r="P104" s="2">
        <f t="shared" si="15"/>
        <v>0.73091499729290743</v>
      </c>
      <c r="Q104" t="s">
        <v>222</v>
      </c>
      <c r="R104" t="s">
        <v>62</v>
      </c>
      <c r="S104">
        <v>5</v>
      </c>
      <c r="T104" s="2">
        <f t="shared" si="16"/>
        <v>0.24363833243096913</v>
      </c>
      <c r="U104" s="2">
        <v>7.2018651571124792</v>
      </c>
      <c r="V104" s="2">
        <f t="shared" si="17"/>
        <v>0.35093008345431681</v>
      </c>
      <c r="W104" s="2">
        <v>5.8917493224143982</v>
      </c>
      <c r="X104" s="2">
        <f t="shared" si="18"/>
        <v>0.28709119600286725</v>
      </c>
      <c r="Y104" s="2">
        <v>1.300717883743346</v>
      </c>
      <c r="Z104" s="2">
        <f t="shared" si="19"/>
        <v>6.3380947231673604E-2</v>
      </c>
      <c r="AA104">
        <v>2022</v>
      </c>
      <c r="AB104">
        <v>1</v>
      </c>
      <c r="AC104">
        <v>7000000</v>
      </c>
    </row>
    <row r="105" spans="1:29" x14ac:dyDescent="0.2">
      <c r="A105">
        <v>531</v>
      </c>
      <c r="B105" t="s">
        <v>63</v>
      </c>
      <c r="C105">
        <v>26</v>
      </c>
      <c r="D105">
        <v>1775</v>
      </c>
      <c r="E105">
        <v>6</v>
      </c>
      <c r="F105" s="2">
        <f t="shared" si="10"/>
        <v>0.3042253521126761</v>
      </c>
      <c r="G105" s="2">
        <v>6.0256657674908638</v>
      </c>
      <c r="H105" s="2">
        <f t="shared" si="11"/>
        <v>0.30552671497136774</v>
      </c>
      <c r="I105">
        <v>2</v>
      </c>
      <c r="J105" s="2">
        <f t="shared" si="12"/>
        <v>0.10140845070422536</v>
      </c>
      <c r="K105" s="2">
        <v>1.559285182505846</v>
      </c>
      <c r="L105" s="2">
        <f t="shared" si="13"/>
        <v>7.9062347281986564E-2</v>
      </c>
      <c r="M105">
        <v>30</v>
      </c>
      <c r="N105" s="2">
        <f t="shared" si="14"/>
        <v>1.52112676056338</v>
      </c>
      <c r="O105">
        <v>9</v>
      </c>
      <c r="P105" s="2">
        <f t="shared" si="15"/>
        <v>0.45633802816901409</v>
      </c>
      <c r="Q105" t="s">
        <v>222</v>
      </c>
      <c r="R105" t="s">
        <v>62</v>
      </c>
      <c r="S105">
        <v>6</v>
      </c>
      <c r="T105" s="2">
        <f t="shared" si="16"/>
        <v>0.3042253521126761</v>
      </c>
      <c r="U105" s="2">
        <v>6.0256657674908638</v>
      </c>
      <c r="V105" s="2">
        <f t="shared" si="17"/>
        <v>0.30552671497136774</v>
      </c>
      <c r="W105" s="2">
        <v>8.2339889481663704</v>
      </c>
      <c r="X105" s="2">
        <f t="shared" si="18"/>
        <v>0.41749803117463286</v>
      </c>
      <c r="Y105" s="2">
        <v>2.5248712673783298</v>
      </c>
      <c r="Z105" s="2">
        <f t="shared" si="19"/>
        <v>0.12802164172622515</v>
      </c>
      <c r="AA105">
        <v>2023</v>
      </c>
      <c r="AB105">
        <v>1</v>
      </c>
      <c r="AC105">
        <v>4000000</v>
      </c>
    </row>
    <row r="106" spans="1:29" x14ac:dyDescent="0.2">
      <c r="A106">
        <v>532</v>
      </c>
      <c r="B106" t="s">
        <v>64</v>
      </c>
      <c r="C106">
        <v>31</v>
      </c>
      <c r="D106">
        <v>1900</v>
      </c>
      <c r="E106">
        <v>0</v>
      </c>
      <c r="F106" s="2">
        <f t="shared" si="10"/>
        <v>0</v>
      </c>
      <c r="G106" s="2">
        <v>1.6332277162000539</v>
      </c>
      <c r="H106" s="2">
        <f t="shared" si="11"/>
        <v>7.7363418135792034E-2</v>
      </c>
      <c r="I106">
        <v>2</v>
      </c>
      <c r="J106" s="2">
        <f t="shared" si="12"/>
        <v>9.4736842105263161E-2</v>
      </c>
      <c r="K106" s="2">
        <v>0.89148630667477846</v>
      </c>
      <c r="L106" s="2">
        <f t="shared" si="13"/>
        <v>4.2228298737226347E-2</v>
      </c>
      <c r="M106">
        <v>20</v>
      </c>
      <c r="N106" s="2">
        <f t="shared" si="14"/>
        <v>0.94736842105263153</v>
      </c>
      <c r="O106">
        <v>14</v>
      </c>
      <c r="P106" s="2">
        <f t="shared" si="15"/>
        <v>0.66315789473684206</v>
      </c>
      <c r="Q106" t="s">
        <v>223</v>
      </c>
      <c r="R106" t="s">
        <v>60</v>
      </c>
      <c r="S106">
        <v>0</v>
      </c>
      <c r="T106" s="2">
        <f t="shared" si="16"/>
        <v>0</v>
      </c>
      <c r="U106" s="2">
        <v>1.6332277162000539</v>
      </c>
      <c r="V106" s="2">
        <f t="shared" si="17"/>
        <v>7.7363418135792034E-2</v>
      </c>
      <c r="W106" s="2">
        <v>4.0476819118484846</v>
      </c>
      <c r="X106" s="2">
        <f t="shared" si="18"/>
        <v>0.19173230108755981</v>
      </c>
      <c r="Y106" s="2">
        <v>2.8673989037051801</v>
      </c>
      <c r="Z106" s="2">
        <f t="shared" si="19"/>
        <v>0.13582415859656116</v>
      </c>
      <c r="AA106">
        <v>2018</v>
      </c>
      <c r="AB106">
        <v>0</v>
      </c>
      <c r="AC106">
        <v>10000000</v>
      </c>
    </row>
    <row r="107" spans="1:29" x14ac:dyDescent="0.2">
      <c r="A107">
        <v>532</v>
      </c>
      <c r="B107" t="s">
        <v>64</v>
      </c>
      <c r="C107">
        <v>35</v>
      </c>
      <c r="D107">
        <v>2560</v>
      </c>
      <c r="E107">
        <v>1</v>
      </c>
      <c r="F107" s="2">
        <f t="shared" si="10"/>
        <v>3.515625E-2</v>
      </c>
      <c r="G107" s="2">
        <v>2.1179451942443852</v>
      </c>
      <c r="H107" s="2">
        <f t="shared" si="11"/>
        <v>7.4459010735154166E-2</v>
      </c>
      <c r="I107">
        <v>1</v>
      </c>
      <c r="J107" s="2">
        <f t="shared" si="12"/>
        <v>3.515625E-2</v>
      </c>
      <c r="K107" s="2">
        <v>0.76908779516816139</v>
      </c>
      <c r="L107" s="2">
        <f t="shared" si="13"/>
        <v>2.7038242798880674E-2</v>
      </c>
      <c r="M107">
        <v>24</v>
      </c>
      <c r="N107" s="2">
        <f t="shared" si="14"/>
        <v>0.84375</v>
      </c>
      <c r="O107">
        <v>10</v>
      </c>
      <c r="P107" s="2">
        <f t="shared" si="15"/>
        <v>0.3515625</v>
      </c>
      <c r="Q107" t="s">
        <v>223</v>
      </c>
      <c r="R107" t="s">
        <v>60</v>
      </c>
      <c r="S107">
        <v>1</v>
      </c>
      <c r="T107" s="2">
        <f t="shared" si="16"/>
        <v>3.515625E-2</v>
      </c>
      <c r="U107" s="2">
        <v>2.1179451942443852</v>
      </c>
      <c r="V107" s="2">
        <f t="shared" si="17"/>
        <v>7.4459010735154166E-2</v>
      </c>
      <c r="W107" s="2">
        <v>3.4630201142281289</v>
      </c>
      <c r="X107" s="2">
        <f t="shared" si="18"/>
        <v>0.12174680089083266</v>
      </c>
      <c r="Y107" s="2">
        <v>1.3397952951490879</v>
      </c>
      <c r="Z107" s="2">
        <f t="shared" si="19"/>
        <v>4.7102178345085122E-2</v>
      </c>
      <c r="AA107">
        <v>2019</v>
      </c>
      <c r="AB107">
        <v>0</v>
      </c>
      <c r="AC107">
        <v>8000000</v>
      </c>
    </row>
    <row r="108" spans="1:29" x14ac:dyDescent="0.2">
      <c r="A108">
        <v>532</v>
      </c>
      <c r="B108" t="s">
        <v>64</v>
      </c>
      <c r="C108">
        <v>36</v>
      </c>
      <c r="D108">
        <v>3126</v>
      </c>
      <c r="E108">
        <v>1</v>
      </c>
      <c r="F108" s="2">
        <f t="shared" si="10"/>
        <v>2.8790786948176581E-2</v>
      </c>
      <c r="G108" s="2">
        <v>0.82392770797014236</v>
      </c>
      <c r="H108" s="2">
        <f t="shared" si="11"/>
        <v>2.372152710086782E-2</v>
      </c>
      <c r="I108">
        <v>0</v>
      </c>
      <c r="J108" s="2">
        <f t="shared" si="12"/>
        <v>0</v>
      </c>
      <c r="K108" s="2">
        <v>0.83078670129179955</v>
      </c>
      <c r="L108" s="2">
        <f t="shared" si="13"/>
        <v>2.3919002916270624E-2</v>
      </c>
      <c r="M108">
        <v>7</v>
      </c>
      <c r="N108" s="2">
        <f t="shared" si="14"/>
        <v>0.2015355086372361</v>
      </c>
      <c r="O108">
        <v>8</v>
      </c>
      <c r="P108" s="2">
        <f t="shared" si="15"/>
        <v>0.23032629558541265</v>
      </c>
      <c r="Q108" t="s">
        <v>223</v>
      </c>
      <c r="R108" t="s">
        <v>60</v>
      </c>
      <c r="S108">
        <v>1</v>
      </c>
      <c r="T108" s="2">
        <f t="shared" si="16"/>
        <v>2.8790786948176581E-2</v>
      </c>
      <c r="U108" s="2">
        <v>0.82392770797014236</v>
      </c>
      <c r="V108" s="2">
        <f t="shared" si="17"/>
        <v>2.372152710086782E-2</v>
      </c>
      <c r="W108" s="2">
        <v>4.7443321691825986</v>
      </c>
      <c r="X108" s="2">
        <f t="shared" si="18"/>
        <v>0.13659305669431665</v>
      </c>
      <c r="Y108" s="2">
        <v>4.5305091673508286</v>
      </c>
      <c r="Z108" s="2">
        <f t="shared" si="19"/>
        <v>0.13043692420395861</v>
      </c>
      <c r="AA108">
        <v>2020</v>
      </c>
      <c r="AB108">
        <v>1</v>
      </c>
      <c r="AC108">
        <v>6000000</v>
      </c>
    </row>
    <row r="109" spans="1:29" x14ac:dyDescent="0.2">
      <c r="A109">
        <v>532</v>
      </c>
      <c r="B109" t="s">
        <v>64</v>
      </c>
      <c r="C109">
        <v>27</v>
      </c>
      <c r="D109">
        <v>1991</v>
      </c>
      <c r="E109">
        <v>0</v>
      </c>
      <c r="F109" s="2">
        <f t="shared" si="10"/>
        <v>0</v>
      </c>
      <c r="G109" s="2">
        <v>0.21997369360178709</v>
      </c>
      <c r="H109" s="2">
        <f t="shared" si="11"/>
        <v>9.9435622421701845E-3</v>
      </c>
      <c r="I109">
        <v>1</v>
      </c>
      <c r="J109" s="2">
        <f t="shared" si="12"/>
        <v>4.5203415369161233E-2</v>
      </c>
      <c r="K109" s="2">
        <v>0.703463114798069</v>
      </c>
      <c r="L109" s="2">
        <f t="shared" si="13"/>
        <v>3.1798935375101062E-2</v>
      </c>
      <c r="M109">
        <v>7</v>
      </c>
      <c r="N109" s="2">
        <f t="shared" si="14"/>
        <v>0.31642390758412858</v>
      </c>
      <c r="O109">
        <v>4</v>
      </c>
      <c r="P109" s="2">
        <f t="shared" si="15"/>
        <v>0.18081366147664493</v>
      </c>
      <c r="Q109" t="s">
        <v>223</v>
      </c>
      <c r="R109" t="s">
        <v>60</v>
      </c>
      <c r="S109">
        <v>0</v>
      </c>
      <c r="T109" s="2">
        <f t="shared" si="16"/>
        <v>0</v>
      </c>
      <c r="U109" s="2">
        <v>0.21997369360178709</v>
      </c>
      <c r="V109" s="2">
        <f t="shared" si="17"/>
        <v>9.9435622421701845E-3</v>
      </c>
      <c r="W109" s="2">
        <v>2.849405175074935</v>
      </c>
      <c r="X109" s="2">
        <f t="shared" si="18"/>
        <v>0.12880284568394984</v>
      </c>
      <c r="Y109" s="2">
        <v>2.675065560266376</v>
      </c>
      <c r="Z109" s="2">
        <f t="shared" si="19"/>
        <v>0.120922099660459</v>
      </c>
      <c r="AA109">
        <v>2021</v>
      </c>
      <c r="AB109">
        <v>1</v>
      </c>
      <c r="AC109">
        <v>4000000</v>
      </c>
    </row>
    <row r="110" spans="1:29" x14ac:dyDescent="0.2">
      <c r="A110">
        <v>536</v>
      </c>
      <c r="B110" t="s">
        <v>65</v>
      </c>
      <c r="C110">
        <v>22</v>
      </c>
      <c r="D110">
        <v>1951</v>
      </c>
      <c r="E110">
        <v>9</v>
      </c>
      <c r="F110" s="2">
        <f t="shared" si="10"/>
        <v>0.41517170681701693</v>
      </c>
      <c r="G110" s="2">
        <v>5.8634772095829248</v>
      </c>
      <c r="H110" s="2">
        <f t="shared" si="11"/>
        <v>0.2704833156650247</v>
      </c>
      <c r="I110">
        <v>4</v>
      </c>
      <c r="J110" s="2">
        <f t="shared" si="12"/>
        <v>0.18452075858534084</v>
      </c>
      <c r="K110" s="2">
        <v>6.8619479034096003</v>
      </c>
      <c r="L110" s="2">
        <f t="shared" si="13"/>
        <v>0.31654295812755717</v>
      </c>
      <c r="M110">
        <v>63</v>
      </c>
      <c r="N110" s="2">
        <f t="shared" si="14"/>
        <v>2.9062019477191186</v>
      </c>
      <c r="O110">
        <v>87</v>
      </c>
      <c r="P110" s="2">
        <f t="shared" si="15"/>
        <v>4.0133264992311632</v>
      </c>
      <c r="Q110" t="s">
        <v>222</v>
      </c>
      <c r="R110" t="s">
        <v>66</v>
      </c>
      <c r="S110">
        <v>6</v>
      </c>
      <c r="T110" s="2">
        <f t="shared" si="16"/>
        <v>0.27678113787801129</v>
      </c>
      <c r="U110" s="2">
        <v>3.5831911489367489</v>
      </c>
      <c r="V110" s="2">
        <f t="shared" si="17"/>
        <v>0.165293287239522</v>
      </c>
      <c r="W110" s="2">
        <v>11.007196523249149</v>
      </c>
      <c r="X110" s="2">
        <f t="shared" si="18"/>
        <v>0.50776406309196487</v>
      </c>
      <c r="Y110" s="2">
        <v>6.1376732047647238</v>
      </c>
      <c r="Z110" s="2">
        <f t="shared" si="19"/>
        <v>0.28313202892302669</v>
      </c>
      <c r="AA110">
        <v>2019</v>
      </c>
      <c r="AB110">
        <v>0</v>
      </c>
      <c r="AC110">
        <v>10000000</v>
      </c>
    </row>
    <row r="111" spans="1:29" x14ac:dyDescent="0.2">
      <c r="A111">
        <v>536</v>
      </c>
      <c r="B111" t="s">
        <v>65</v>
      </c>
      <c r="C111">
        <v>33</v>
      </c>
      <c r="D111">
        <v>2442</v>
      </c>
      <c r="E111">
        <v>7</v>
      </c>
      <c r="F111" s="2">
        <f t="shared" si="10"/>
        <v>0.25798525798525795</v>
      </c>
      <c r="G111" s="2">
        <v>6.3039603307843208</v>
      </c>
      <c r="H111" s="2">
        <f t="shared" si="11"/>
        <v>0.23233269032374645</v>
      </c>
      <c r="I111">
        <v>10</v>
      </c>
      <c r="J111" s="2">
        <f t="shared" si="12"/>
        <v>0.36855036855036855</v>
      </c>
      <c r="K111" s="2">
        <v>8.0010928483679891</v>
      </c>
      <c r="L111" s="2">
        <f t="shared" si="13"/>
        <v>0.29488057180717403</v>
      </c>
      <c r="M111">
        <v>45</v>
      </c>
      <c r="N111" s="2">
        <f t="shared" si="14"/>
        <v>1.6584766584766584</v>
      </c>
      <c r="O111">
        <v>66</v>
      </c>
      <c r="P111" s="2">
        <f t="shared" si="15"/>
        <v>2.4324324324324325</v>
      </c>
      <c r="Q111" t="s">
        <v>222</v>
      </c>
      <c r="R111" t="s">
        <v>66</v>
      </c>
      <c r="S111">
        <v>7</v>
      </c>
      <c r="T111" s="2">
        <f t="shared" si="16"/>
        <v>0.25798525798525795</v>
      </c>
      <c r="U111" s="2">
        <v>5.5438656276091933</v>
      </c>
      <c r="V111" s="2">
        <f t="shared" si="17"/>
        <v>0.20431937202490885</v>
      </c>
      <c r="W111" s="2">
        <v>15.65750396065414</v>
      </c>
      <c r="X111" s="2">
        <f t="shared" si="18"/>
        <v>0.5770578855277938</v>
      </c>
      <c r="Y111" s="2">
        <v>7.6119564045220613</v>
      </c>
      <c r="Z111" s="2">
        <f t="shared" si="19"/>
        <v>0.28053893382759437</v>
      </c>
      <c r="AA111">
        <v>2020</v>
      </c>
      <c r="AB111">
        <v>0</v>
      </c>
      <c r="AC111">
        <v>5000000</v>
      </c>
    </row>
    <row r="112" spans="1:29" x14ac:dyDescent="0.2">
      <c r="A112">
        <v>536</v>
      </c>
      <c r="B112" t="s">
        <v>65</v>
      </c>
      <c r="C112">
        <v>31</v>
      </c>
      <c r="D112">
        <v>2599</v>
      </c>
      <c r="E112">
        <v>12</v>
      </c>
      <c r="F112" s="2">
        <f t="shared" si="10"/>
        <v>0.41554444016929587</v>
      </c>
      <c r="G112" s="2">
        <v>10.224445840809491</v>
      </c>
      <c r="H112" s="2">
        <f t="shared" si="11"/>
        <v>0.35405930191337209</v>
      </c>
      <c r="I112">
        <v>11</v>
      </c>
      <c r="J112" s="2">
        <f t="shared" si="12"/>
        <v>0.38091573682185453</v>
      </c>
      <c r="K112" s="2">
        <v>10.594417411834</v>
      </c>
      <c r="L112" s="2">
        <f t="shared" si="13"/>
        <v>0.36687093769336665</v>
      </c>
      <c r="M112">
        <v>68</v>
      </c>
      <c r="N112" s="2">
        <f t="shared" si="14"/>
        <v>2.3547518276260098</v>
      </c>
      <c r="O112">
        <v>99</v>
      </c>
      <c r="P112" s="2">
        <f t="shared" si="15"/>
        <v>3.4282416313966912</v>
      </c>
      <c r="Q112" t="s">
        <v>222</v>
      </c>
      <c r="R112" t="s">
        <v>66</v>
      </c>
      <c r="S112">
        <v>5</v>
      </c>
      <c r="T112" s="2">
        <f t="shared" si="16"/>
        <v>0.17314351673720663</v>
      </c>
      <c r="U112" s="2">
        <v>4.903780868742615</v>
      </c>
      <c r="V112" s="2">
        <f t="shared" si="17"/>
        <v>0.16981157298454611</v>
      </c>
      <c r="W112" s="2">
        <v>18.840970885008581</v>
      </c>
      <c r="X112" s="2">
        <f t="shared" si="18"/>
        <v>0.65243839155474115</v>
      </c>
      <c r="Y112" s="2">
        <v>9.4675055425614119</v>
      </c>
      <c r="Z112" s="2">
        <f t="shared" si="19"/>
        <v>0.32784744087361561</v>
      </c>
      <c r="AA112">
        <v>2021</v>
      </c>
      <c r="AB112">
        <v>1</v>
      </c>
      <c r="AC112">
        <v>5000000</v>
      </c>
    </row>
    <row r="113" spans="1:29" x14ac:dyDescent="0.2">
      <c r="A113">
        <v>536</v>
      </c>
      <c r="B113" t="s">
        <v>65</v>
      </c>
      <c r="C113">
        <v>24</v>
      </c>
      <c r="D113">
        <v>806</v>
      </c>
      <c r="E113">
        <v>4</v>
      </c>
      <c r="F113" s="2">
        <f t="shared" si="10"/>
        <v>0.4466501240694789</v>
      </c>
      <c r="G113" s="2">
        <v>3.3330053137615319</v>
      </c>
      <c r="H113" s="2">
        <f t="shared" si="11"/>
        <v>0.37217180922895521</v>
      </c>
      <c r="I113">
        <v>3</v>
      </c>
      <c r="J113" s="2">
        <f t="shared" si="12"/>
        <v>0.33498759305210918</v>
      </c>
      <c r="K113" s="2">
        <v>3.4771972894668579</v>
      </c>
      <c r="L113" s="2">
        <f t="shared" si="13"/>
        <v>0.38827265018860696</v>
      </c>
      <c r="M113">
        <v>28</v>
      </c>
      <c r="N113" s="2">
        <f t="shared" si="14"/>
        <v>3.1265508684863526</v>
      </c>
      <c r="O113">
        <v>32</v>
      </c>
      <c r="P113" s="2">
        <f t="shared" si="15"/>
        <v>3.5732009925558312</v>
      </c>
      <c r="Q113" t="s">
        <v>222</v>
      </c>
      <c r="R113" t="s">
        <v>66</v>
      </c>
      <c r="S113">
        <v>3</v>
      </c>
      <c r="T113" s="2">
        <f t="shared" si="16"/>
        <v>0.33498759305210918</v>
      </c>
      <c r="U113" s="2">
        <v>2.572910406626761</v>
      </c>
      <c r="V113" s="2">
        <f t="shared" si="17"/>
        <v>0.28729768808487405</v>
      </c>
      <c r="W113" s="2">
        <v>7.1246243827044964</v>
      </c>
      <c r="X113" s="2">
        <f t="shared" si="18"/>
        <v>0.79555359112084945</v>
      </c>
      <c r="Y113" s="2">
        <v>2.6845309808850288</v>
      </c>
      <c r="Z113" s="2">
        <f t="shared" si="19"/>
        <v>0.29976152392016453</v>
      </c>
      <c r="AA113">
        <v>2022</v>
      </c>
      <c r="AB113">
        <v>1</v>
      </c>
      <c r="AC113">
        <v>1800000</v>
      </c>
    </row>
    <row r="114" spans="1:29" x14ac:dyDescent="0.2">
      <c r="A114">
        <v>586</v>
      </c>
      <c r="B114" t="s">
        <v>67</v>
      </c>
      <c r="C114">
        <v>23</v>
      </c>
      <c r="D114">
        <v>2046</v>
      </c>
      <c r="E114">
        <v>1</v>
      </c>
      <c r="F114" s="2">
        <f t="shared" si="10"/>
        <v>4.398826979472141E-2</v>
      </c>
      <c r="G114" s="2">
        <v>0.2041568327695131</v>
      </c>
      <c r="H114" s="2">
        <f t="shared" si="11"/>
        <v>8.9805058403011635E-3</v>
      </c>
      <c r="I114">
        <v>0</v>
      </c>
      <c r="J114" s="2">
        <f t="shared" si="12"/>
        <v>0</v>
      </c>
      <c r="K114" s="2">
        <v>0.6552915908396244</v>
      </c>
      <c r="L114" s="2">
        <f t="shared" si="13"/>
        <v>2.8825143292065591E-2</v>
      </c>
      <c r="M114">
        <v>7</v>
      </c>
      <c r="N114" s="2">
        <f t="shared" si="14"/>
        <v>0.30791788856304986</v>
      </c>
      <c r="O114">
        <v>4</v>
      </c>
      <c r="P114" s="2">
        <f t="shared" si="15"/>
        <v>0.17595307917888564</v>
      </c>
      <c r="Q114" t="s">
        <v>224</v>
      </c>
      <c r="R114" t="s">
        <v>68</v>
      </c>
      <c r="S114">
        <v>1</v>
      </c>
      <c r="T114" s="2">
        <f t="shared" si="16"/>
        <v>4.398826979472141E-2</v>
      </c>
      <c r="U114" s="2">
        <v>0.2041568327695131</v>
      </c>
      <c r="V114" s="2">
        <f t="shared" si="17"/>
        <v>8.9805058403011635E-3</v>
      </c>
      <c r="W114" s="2">
        <v>3.3579246811568741</v>
      </c>
      <c r="X114" s="2">
        <f t="shared" si="18"/>
        <v>0.14770929682508244</v>
      </c>
      <c r="Y114" s="2">
        <v>3.2786042839288712</v>
      </c>
      <c r="Z114" s="2">
        <f t="shared" si="19"/>
        <v>0.14422012979159257</v>
      </c>
      <c r="AA114">
        <v>2014</v>
      </c>
      <c r="AB114">
        <v>0</v>
      </c>
      <c r="AC114">
        <v>13000000</v>
      </c>
    </row>
    <row r="115" spans="1:29" x14ac:dyDescent="0.2">
      <c r="A115">
        <v>586</v>
      </c>
      <c r="B115" t="s">
        <v>67</v>
      </c>
      <c r="C115">
        <v>33</v>
      </c>
      <c r="D115">
        <v>2781</v>
      </c>
      <c r="E115">
        <v>0</v>
      </c>
      <c r="F115" s="2">
        <f t="shared" si="10"/>
        <v>0</v>
      </c>
      <c r="G115" s="2">
        <v>0.42010380141437048</v>
      </c>
      <c r="H115" s="2">
        <f t="shared" si="11"/>
        <v>1.3595592278782216E-2</v>
      </c>
      <c r="I115">
        <v>0</v>
      </c>
      <c r="J115" s="2">
        <f t="shared" si="12"/>
        <v>0</v>
      </c>
      <c r="K115" s="2">
        <v>2.0363227166235451</v>
      </c>
      <c r="L115" s="2">
        <f t="shared" si="13"/>
        <v>6.5900411541215051E-2</v>
      </c>
      <c r="M115">
        <v>8</v>
      </c>
      <c r="N115" s="2">
        <f t="shared" si="14"/>
        <v>0.25889967637540451</v>
      </c>
      <c r="O115">
        <v>6</v>
      </c>
      <c r="P115" s="2">
        <f t="shared" si="15"/>
        <v>0.19417475728155337</v>
      </c>
      <c r="Q115" t="s">
        <v>224</v>
      </c>
      <c r="R115" t="s">
        <v>68</v>
      </c>
      <c r="S115">
        <v>0</v>
      </c>
      <c r="T115" s="2">
        <f t="shared" si="16"/>
        <v>0</v>
      </c>
      <c r="U115" s="2">
        <v>0.42010380141437048</v>
      </c>
      <c r="V115" s="2">
        <f t="shared" si="17"/>
        <v>1.3595592278782216E-2</v>
      </c>
      <c r="W115" s="2">
        <v>7.3348444169387221</v>
      </c>
      <c r="X115" s="2">
        <f t="shared" si="18"/>
        <v>0.23737360572617225</v>
      </c>
      <c r="Y115" s="2">
        <v>6.957310444675386</v>
      </c>
      <c r="Z115" s="2">
        <f t="shared" si="19"/>
        <v>0.22515567782120988</v>
      </c>
      <c r="AA115">
        <v>2015</v>
      </c>
      <c r="AB115">
        <v>0</v>
      </c>
      <c r="AC115">
        <v>28000000</v>
      </c>
    </row>
    <row r="116" spans="1:29" x14ac:dyDescent="0.2">
      <c r="A116">
        <v>586</v>
      </c>
      <c r="B116" t="s">
        <v>67</v>
      </c>
      <c r="C116">
        <v>27</v>
      </c>
      <c r="D116">
        <v>2011</v>
      </c>
      <c r="E116">
        <v>0</v>
      </c>
      <c r="F116" s="2">
        <f t="shared" si="10"/>
        <v>0</v>
      </c>
      <c r="G116" s="2">
        <v>1.46383941359818</v>
      </c>
      <c r="H116" s="2">
        <f t="shared" si="11"/>
        <v>6.5512455108819589E-2</v>
      </c>
      <c r="I116">
        <v>0</v>
      </c>
      <c r="J116" s="2">
        <f t="shared" si="12"/>
        <v>0</v>
      </c>
      <c r="K116" s="2">
        <v>0.2321748984977603</v>
      </c>
      <c r="L116" s="2">
        <f t="shared" si="13"/>
        <v>1.0390721464345314E-2</v>
      </c>
      <c r="M116">
        <v>13</v>
      </c>
      <c r="N116" s="2">
        <f t="shared" si="14"/>
        <v>0.58180009945300837</v>
      </c>
      <c r="O116">
        <v>4</v>
      </c>
      <c r="P116" s="2">
        <f t="shared" si="15"/>
        <v>0.17901541521631029</v>
      </c>
      <c r="Q116" t="s">
        <v>224</v>
      </c>
      <c r="R116" t="s">
        <v>38</v>
      </c>
      <c r="S116">
        <v>0</v>
      </c>
      <c r="T116" s="2">
        <f t="shared" si="16"/>
        <v>0</v>
      </c>
      <c r="U116" s="2">
        <v>1.46383941359818</v>
      </c>
      <c r="V116" s="2">
        <f t="shared" si="17"/>
        <v>6.5512455108819589E-2</v>
      </c>
      <c r="W116" s="2">
        <v>7.7813849691301584</v>
      </c>
      <c r="X116" s="2">
        <f t="shared" si="18"/>
        <v>0.3482469653016978</v>
      </c>
      <c r="Y116" s="2">
        <v>7.582047963514924</v>
      </c>
      <c r="Z116" s="2">
        <f t="shared" si="19"/>
        <v>0.33932586609465099</v>
      </c>
      <c r="AA116">
        <v>2016</v>
      </c>
      <c r="AB116">
        <v>1</v>
      </c>
      <c r="AC116">
        <v>35000000</v>
      </c>
    </row>
    <row r="117" spans="1:29" x14ac:dyDescent="0.2">
      <c r="A117">
        <v>586</v>
      </c>
      <c r="B117" t="s">
        <v>67</v>
      </c>
      <c r="C117">
        <v>18</v>
      </c>
      <c r="D117">
        <v>1310</v>
      </c>
      <c r="E117">
        <v>0</v>
      </c>
      <c r="F117" s="2">
        <f t="shared" si="10"/>
        <v>0</v>
      </c>
      <c r="G117" s="2">
        <v>1.3271582154557111</v>
      </c>
      <c r="H117" s="2">
        <f t="shared" si="11"/>
        <v>9.1178808695430533E-2</v>
      </c>
      <c r="I117">
        <v>0</v>
      </c>
      <c r="J117" s="2">
        <f t="shared" si="12"/>
        <v>0</v>
      </c>
      <c r="K117" s="2">
        <v>0</v>
      </c>
      <c r="L117" s="2">
        <f t="shared" si="13"/>
        <v>0</v>
      </c>
      <c r="M117">
        <v>11</v>
      </c>
      <c r="N117" s="2">
        <f t="shared" si="14"/>
        <v>0.75572519083969469</v>
      </c>
      <c r="O117">
        <v>0</v>
      </c>
      <c r="P117" s="2">
        <f t="shared" si="15"/>
        <v>0</v>
      </c>
      <c r="Q117" t="s">
        <v>224</v>
      </c>
      <c r="R117" t="s">
        <v>38</v>
      </c>
      <c r="S117">
        <v>0</v>
      </c>
      <c r="T117" s="2">
        <f t="shared" si="16"/>
        <v>0</v>
      </c>
      <c r="U117" s="2">
        <v>1.3271582154557111</v>
      </c>
      <c r="V117" s="2">
        <f t="shared" si="17"/>
        <v>9.1178808695430533E-2</v>
      </c>
      <c r="W117" s="2">
        <v>10.52970838919282</v>
      </c>
      <c r="X117" s="2">
        <f t="shared" si="18"/>
        <v>0.72341508017355249</v>
      </c>
      <c r="Y117" s="2">
        <v>10.45734337344766</v>
      </c>
      <c r="Z117" s="2">
        <f t="shared" si="19"/>
        <v>0.71844343787044995</v>
      </c>
      <c r="AA117">
        <v>2017</v>
      </c>
      <c r="AB117">
        <v>1</v>
      </c>
      <c r="AC117">
        <v>55000000</v>
      </c>
    </row>
    <row r="118" spans="1:29" x14ac:dyDescent="0.2">
      <c r="A118">
        <v>605</v>
      </c>
      <c r="B118" t="s">
        <v>69</v>
      </c>
      <c r="C118">
        <v>30</v>
      </c>
      <c r="D118">
        <v>2254</v>
      </c>
      <c r="E118">
        <v>4</v>
      </c>
      <c r="F118" s="2">
        <f t="shared" si="10"/>
        <v>0.15971606033717836</v>
      </c>
      <c r="G118" s="2">
        <v>1.1846891138702631</v>
      </c>
      <c r="H118" s="2">
        <f t="shared" si="11"/>
        <v>4.7303469497925327E-2</v>
      </c>
      <c r="I118">
        <v>5</v>
      </c>
      <c r="J118" s="2">
        <f t="shared" si="12"/>
        <v>0.19964507542147295</v>
      </c>
      <c r="K118" s="2">
        <v>4.108061358332634</v>
      </c>
      <c r="L118" s="2">
        <f t="shared" si="13"/>
        <v>0.16403084394407147</v>
      </c>
      <c r="M118">
        <v>20</v>
      </c>
      <c r="N118" s="2">
        <f t="shared" si="14"/>
        <v>0.79858030168589178</v>
      </c>
      <c r="O118">
        <v>27</v>
      </c>
      <c r="P118" s="2">
        <f t="shared" si="15"/>
        <v>1.078083407275954</v>
      </c>
      <c r="Q118" t="s">
        <v>223</v>
      </c>
      <c r="R118" t="s">
        <v>31</v>
      </c>
      <c r="S118">
        <v>4</v>
      </c>
      <c r="T118" s="2">
        <f t="shared" si="16"/>
        <v>0.15971606033717836</v>
      </c>
      <c r="U118" s="2">
        <v>1.1846891138702631</v>
      </c>
      <c r="V118" s="2">
        <f t="shared" si="17"/>
        <v>4.7303469497925327E-2</v>
      </c>
      <c r="W118" s="2">
        <v>15.858562499284741</v>
      </c>
      <c r="X118" s="2">
        <f t="shared" si="18"/>
        <v>0.63321678124916891</v>
      </c>
      <c r="Y118" s="2">
        <v>12.15212087333202</v>
      </c>
      <c r="Z118" s="2">
        <f t="shared" si="19"/>
        <v>0.48522221765744533</v>
      </c>
      <c r="AA118">
        <v>2019</v>
      </c>
      <c r="AB118">
        <v>0</v>
      </c>
      <c r="AC118">
        <v>28000000</v>
      </c>
    </row>
    <row r="119" spans="1:29" x14ac:dyDescent="0.2">
      <c r="A119">
        <v>605</v>
      </c>
      <c r="B119" t="s">
        <v>69</v>
      </c>
      <c r="C119">
        <v>21</v>
      </c>
      <c r="D119">
        <v>1710</v>
      </c>
      <c r="E119">
        <v>1</v>
      </c>
      <c r="F119" s="2">
        <f t="shared" si="10"/>
        <v>5.2631578947368425E-2</v>
      </c>
      <c r="G119" s="2">
        <v>1.135797088965774</v>
      </c>
      <c r="H119" s="2">
        <f t="shared" si="11"/>
        <v>5.9778794156093364E-2</v>
      </c>
      <c r="I119">
        <v>1</v>
      </c>
      <c r="J119" s="2">
        <f t="shared" si="12"/>
        <v>5.2631578947368425E-2</v>
      </c>
      <c r="K119" s="2">
        <v>1.4837088845670221</v>
      </c>
      <c r="L119" s="2">
        <f t="shared" si="13"/>
        <v>7.8089941293001161E-2</v>
      </c>
      <c r="M119">
        <v>14</v>
      </c>
      <c r="N119" s="2">
        <f t="shared" si="14"/>
        <v>0.73684210526315796</v>
      </c>
      <c r="O119">
        <v>14</v>
      </c>
      <c r="P119" s="2">
        <f t="shared" si="15"/>
        <v>0.73684210526315796</v>
      </c>
      <c r="Q119" t="s">
        <v>223</v>
      </c>
      <c r="R119" t="s">
        <v>31</v>
      </c>
      <c r="S119">
        <v>1</v>
      </c>
      <c r="T119" s="2">
        <f t="shared" si="16"/>
        <v>5.2631578947368425E-2</v>
      </c>
      <c r="U119" s="2">
        <v>1.135797088965774</v>
      </c>
      <c r="V119" s="2">
        <f t="shared" si="17"/>
        <v>5.9778794156093364E-2</v>
      </c>
      <c r="W119" s="2">
        <v>11.494373463094229</v>
      </c>
      <c r="X119" s="2">
        <f t="shared" si="18"/>
        <v>0.60496702437338046</v>
      </c>
      <c r="Y119" s="2">
        <v>10.461348321288821</v>
      </c>
      <c r="Z119" s="2">
        <f t="shared" si="19"/>
        <v>0.55059728006783271</v>
      </c>
      <c r="AA119">
        <v>2020</v>
      </c>
      <c r="AB119">
        <v>0</v>
      </c>
      <c r="AC119">
        <v>20000000</v>
      </c>
    </row>
    <row r="120" spans="1:29" x14ac:dyDescent="0.2">
      <c r="A120">
        <v>605</v>
      </c>
      <c r="B120" t="s">
        <v>69</v>
      </c>
      <c r="C120">
        <v>35</v>
      </c>
      <c r="D120">
        <v>2616</v>
      </c>
      <c r="E120">
        <v>2</v>
      </c>
      <c r="F120" s="2">
        <f t="shared" si="10"/>
        <v>6.8807339449541288E-2</v>
      </c>
      <c r="G120" s="2">
        <v>1.372686821036041</v>
      </c>
      <c r="H120" s="2">
        <f t="shared" si="11"/>
        <v>4.7225464026469301E-2</v>
      </c>
      <c r="I120">
        <v>5</v>
      </c>
      <c r="J120" s="2">
        <f t="shared" si="12"/>
        <v>0.17201834862385321</v>
      </c>
      <c r="K120" s="2">
        <v>4.1950827222317457</v>
      </c>
      <c r="L120" s="2">
        <f t="shared" si="13"/>
        <v>0.14432624044375272</v>
      </c>
      <c r="M120">
        <v>31</v>
      </c>
      <c r="N120" s="2">
        <f t="shared" si="14"/>
        <v>1.0665137614678899</v>
      </c>
      <c r="O120">
        <v>37</v>
      </c>
      <c r="P120" s="2">
        <f t="shared" si="15"/>
        <v>1.2729357798165137</v>
      </c>
      <c r="Q120" t="s">
        <v>223</v>
      </c>
      <c r="R120" t="s">
        <v>31</v>
      </c>
      <c r="S120">
        <v>2</v>
      </c>
      <c r="T120" s="2">
        <f t="shared" si="16"/>
        <v>6.8807339449541288E-2</v>
      </c>
      <c r="U120" s="2">
        <v>1.372686821036041</v>
      </c>
      <c r="V120" s="2">
        <f t="shared" si="17"/>
        <v>4.7225464026469301E-2</v>
      </c>
      <c r="W120" s="2">
        <v>18.982784695923328</v>
      </c>
      <c r="X120" s="2">
        <f t="shared" si="18"/>
        <v>0.65307745513497684</v>
      </c>
      <c r="Y120" s="2">
        <v>15.453528169542549</v>
      </c>
      <c r="Z120" s="2">
        <f t="shared" si="19"/>
        <v>0.53165807922738129</v>
      </c>
      <c r="AA120">
        <v>2021</v>
      </c>
      <c r="AB120">
        <v>1</v>
      </c>
      <c r="AC120">
        <v>15000000</v>
      </c>
    </row>
    <row r="121" spans="1:29" x14ac:dyDescent="0.2">
      <c r="A121">
        <v>605</v>
      </c>
      <c r="B121" t="s">
        <v>69</v>
      </c>
      <c r="C121">
        <v>35</v>
      </c>
      <c r="D121">
        <v>2084</v>
      </c>
      <c r="E121">
        <v>0</v>
      </c>
      <c r="F121" s="2">
        <f t="shared" si="10"/>
        <v>0</v>
      </c>
      <c r="G121" s="2">
        <v>0.85945310164242983</v>
      </c>
      <c r="H121" s="2">
        <f t="shared" si="11"/>
        <v>3.7116496712005127E-2</v>
      </c>
      <c r="I121">
        <v>2</v>
      </c>
      <c r="J121" s="2">
        <f t="shared" si="12"/>
        <v>8.6372360844529747E-2</v>
      </c>
      <c r="K121" s="2">
        <v>3.592609709128737</v>
      </c>
      <c r="L121" s="2">
        <f t="shared" si="13"/>
        <v>0.15515109108521419</v>
      </c>
      <c r="M121">
        <v>23</v>
      </c>
      <c r="N121" s="2">
        <f t="shared" si="14"/>
        <v>0.99328214971209206</v>
      </c>
      <c r="O121">
        <v>31</v>
      </c>
      <c r="P121" s="2">
        <f t="shared" si="15"/>
        <v>1.3387715930902111</v>
      </c>
      <c r="Q121" t="s">
        <v>223</v>
      </c>
      <c r="R121" t="s">
        <v>31</v>
      </c>
      <c r="S121">
        <v>0</v>
      </c>
      <c r="T121" s="2">
        <f t="shared" si="16"/>
        <v>0</v>
      </c>
      <c r="U121" s="2">
        <v>0.85945310164242983</v>
      </c>
      <c r="V121" s="2">
        <f t="shared" si="17"/>
        <v>3.7116496712005127E-2</v>
      </c>
      <c r="W121" s="2">
        <v>13.00366400927305</v>
      </c>
      <c r="X121" s="2">
        <f t="shared" si="18"/>
        <v>0.56157858005497818</v>
      </c>
      <c r="Y121" s="2">
        <v>10.281026463955641</v>
      </c>
      <c r="Z121" s="2">
        <f t="shared" si="19"/>
        <v>0.44399826379846818</v>
      </c>
      <c r="AA121">
        <v>2022</v>
      </c>
      <c r="AB121">
        <v>1</v>
      </c>
      <c r="AC121">
        <v>10000000</v>
      </c>
    </row>
    <row r="122" spans="1:29" x14ac:dyDescent="0.2">
      <c r="A122">
        <v>606</v>
      </c>
      <c r="B122" t="s">
        <v>70</v>
      </c>
      <c r="C122">
        <v>16</v>
      </c>
      <c r="D122">
        <v>808</v>
      </c>
      <c r="E122">
        <v>1</v>
      </c>
      <c r="F122" s="2">
        <f t="shared" si="10"/>
        <v>0.11138613861386139</v>
      </c>
      <c r="G122" s="2">
        <v>3.729038055986166</v>
      </c>
      <c r="H122" s="2">
        <f t="shared" si="11"/>
        <v>0.41536314980043926</v>
      </c>
      <c r="I122">
        <v>1</v>
      </c>
      <c r="J122" s="2">
        <f t="shared" si="12"/>
        <v>0.11138613861386139</v>
      </c>
      <c r="K122" s="2">
        <v>1.1865838812664149</v>
      </c>
      <c r="L122" s="2">
        <f t="shared" si="13"/>
        <v>0.13216899667571452</v>
      </c>
      <c r="M122">
        <v>26</v>
      </c>
      <c r="N122" s="2">
        <f t="shared" si="14"/>
        <v>2.8960396039603959</v>
      </c>
      <c r="O122">
        <v>9</v>
      </c>
      <c r="P122" s="2">
        <f t="shared" si="15"/>
        <v>1.0024752475247525</v>
      </c>
      <c r="Q122" t="s">
        <v>222</v>
      </c>
      <c r="R122" t="s">
        <v>60</v>
      </c>
      <c r="S122">
        <v>1</v>
      </c>
      <c r="T122" s="2">
        <f t="shared" si="16"/>
        <v>0.11138613861386139</v>
      </c>
      <c r="U122" s="2">
        <v>3.729038055986166</v>
      </c>
      <c r="V122" s="2">
        <f t="shared" si="17"/>
        <v>0.41536314980043926</v>
      </c>
      <c r="W122" s="2">
        <v>4.1976045519113541</v>
      </c>
      <c r="X122" s="2">
        <f t="shared" si="18"/>
        <v>0.46755496246537365</v>
      </c>
      <c r="Y122" s="2">
        <v>1.3609159998595719</v>
      </c>
      <c r="Z122" s="2">
        <f t="shared" si="19"/>
        <v>0.15158717820218004</v>
      </c>
      <c r="AA122">
        <v>2018</v>
      </c>
      <c r="AB122">
        <v>0</v>
      </c>
      <c r="AC122">
        <v>15000000</v>
      </c>
    </row>
    <row r="123" spans="1:29" x14ac:dyDescent="0.2">
      <c r="A123">
        <v>606</v>
      </c>
      <c r="B123" t="s">
        <v>70</v>
      </c>
      <c r="C123">
        <v>24</v>
      </c>
      <c r="D123">
        <v>1249</v>
      </c>
      <c r="E123">
        <v>2</v>
      </c>
      <c r="F123" s="2">
        <f t="shared" si="10"/>
        <v>0.14411529223378702</v>
      </c>
      <c r="G123" s="2">
        <v>4.6278314758092156</v>
      </c>
      <c r="H123" s="2">
        <f t="shared" si="11"/>
        <v>0.33347064277248151</v>
      </c>
      <c r="I123">
        <v>1</v>
      </c>
      <c r="J123" s="2">
        <f t="shared" si="12"/>
        <v>7.2057646116893512E-2</v>
      </c>
      <c r="K123" s="2">
        <v>2.4594791196286678</v>
      </c>
      <c r="L123" s="2">
        <f t="shared" si="13"/>
        <v>0.17722427603409135</v>
      </c>
      <c r="M123">
        <v>41</v>
      </c>
      <c r="N123" s="2">
        <f t="shared" si="14"/>
        <v>2.9543634907926344</v>
      </c>
      <c r="O123">
        <v>19</v>
      </c>
      <c r="P123" s="2">
        <f t="shared" si="15"/>
        <v>1.3690952762209767</v>
      </c>
      <c r="Q123" t="s">
        <v>222</v>
      </c>
      <c r="R123" t="s">
        <v>60</v>
      </c>
      <c r="S123">
        <v>2</v>
      </c>
      <c r="T123" s="2">
        <f t="shared" si="16"/>
        <v>0.14411529223378702</v>
      </c>
      <c r="U123" s="2">
        <v>4.6278314758092156</v>
      </c>
      <c r="V123" s="2">
        <f t="shared" si="17"/>
        <v>0.33347064277248151</v>
      </c>
      <c r="W123" s="2">
        <v>6.4657013732939959</v>
      </c>
      <c r="X123" s="2">
        <f t="shared" si="18"/>
        <v>0.46590322145433116</v>
      </c>
      <c r="Y123" s="2">
        <v>0.71894660592079163</v>
      </c>
      <c r="Z123" s="2">
        <f t="shared" si="19"/>
        <v>5.1805600106382098E-2</v>
      </c>
      <c r="AA123">
        <v>2019</v>
      </c>
      <c r="AB123">
        <v>0</v>
      </c>
      <c r="AC123">
        <v>10500000</v>
      </c>
    </row>
    <row r="124" spans="1:29" x14ac:dyDescent="0.2">
      <c r="A124">
        <v>606</v>
      </c>
      <c r="B124" t="s">
        <v>70</v>
      </c>
      <c r="C124">
        <v>30</v>
      </c>
      <c r="D124">
        <v>1824</v>
      </c>
      <c r="E124">
        <v>10</v>
      </c>
      <c r="F124" s="2">
        <f t="shared" si="10"/>
        <v>0.49342105263157893</v>
      </c>
      <c r="G124" s="2">
        <v>7.4574003666639328</v>
      </c>
      <c r="H124" s="2">
        <f t="shared" si="11"/>
        <v>0.36796383388144405</v>
      </c>
      <c r="I124">
        <v>1</v>
      </c>
      <c r="J124" s="2">
        <f t="shared" si="12"/>
        <v>4.9342105263157895E-2</v>
      </c>
      <c r="K124" s="2">
        <v>0.69762689620256424</v>
      </c>
      <c r="L124" s="2">
        <f t="shared" si="13"/>
        <v>3.4422379746837053E-2</v>
      </c>
      <c r="M124">
        <v>71</v>
      </c>
      <c r="N124" s="2">
        <f t="shared" si="14"/>
        <v>3.5032894736842106</v>
      </c>
      <c r="O124">
        <v>15</v>
      </c>
      <c r="P124" s="2">
        <f t="shared" si="15"/>
        <v>0.74013157894736836</v>
      </c>
      <c r="Q124" t="s">
        <v>222</v>
      </c>
      <c r="R124" t="s">
        <v>60</v>
      </c>
      <c r="S124">
        <v>10</v>
      </c>
      <c r="T124" s="2">
        <f t="shared" si="16"/>
        <v>0.49342105263157893</v>
      </c>
      <c r="U124" s="2">
        <v>7.4574003666639328</v>
      </c>
      <c r="V124" s="2">
        <f t="shared" si="17"/>
        <v>0.36796383388144405</v>
      </c>
      <c r="W124" s="2">
        <v>8.4728440809994936</v>
      </c>
      <c r="X124" s="2">
        <f t="shared" si="18"/>
        <v>0.41806796452300132</v>
      </c>
      <c r="Y124" s="2">
        <v>3.153554405085742</v>
      </c>
      <c r="Z124" s="2">
        <f t="shared" si="19"/>
        <v>0.15560301340883598</v>
      </c>
      <c r="AA124">
        <v>2020</v>
      </c>
      <c r="AB124">
        <v>1</v>
      </c>
      <c r="AC124">
        <v>9000000</v>
      </c>
    </row>
    <row r="125" spans="1:29" x14ac:dyDescent="0.2">
      <c r="A125">
        <v>606</v>
      </c>
      <c r="B125" t="s">
        <v>70</v>
      </c>
      <c r="C125">
        <v>25</v>
      </c>
      <c r="D125">
        <v>1112</v>
      </c>
      <c r="E125">
        <v>4</v>
      </c>
      <c r="F125" s="2">
        <f t="shared" si="10"/>
        <v>0.32374100719424465</v>
      </c>
      <c r="G125" s="2">
        <v>4.7193718254566193</v>
      </c>
      <c r="H125" s="2">
        <f t="shared" si="11"/>
        <v>0.38196354702436669</v>
      </c>
      <c r="I125">
        <v>1</v>
      </c>
      <c r="J125" s="2">
        <f t="shared" si="12"/>
        <v>8.0935251798561161E-2</v>
      </c>
      <c r="K125" s="2">
        <v>1.665178785100579</v>
      </c>
      <c r="L125" s="2">
        <f t="shared" si="13"/>
        <v>0.13477166426173751</v>
      </c>
      <c r="M125">
        <v>38</v>
      </c>
      <c r="N125" s="2">
        <f t="shared" si="14"/>
        <v>3.0755395683453242</v>
      </c>
      <c r="O125">
        <v>14</v>
      </c>
      <c r="P125" s="2">
        <f t="shared" si="15"/>
        <v>1.1330935251798562</v>
      </c>
      <c r="Q125" t="s">
        <v>222</v>
      </c>
      <c r="R125" t="s">
        <v>60</v>
      </c>
      <c r="S125">
        <v>4</v>
      </c>
      <c r="T125" s="2">
        <f t="shared" si="16"/>
        <v>0.32374100719424465</v>
      </c>
      <c r="U125" s="2">
        <v>4.7193718254566193</v>
      </c>
      <c r="V125" s="2">
        <f t="shared" si="17"/>
        <v>0.38196354702436669</v>
      </c>
      <c r="W125" s="2">
        <v>6.5973572172224522</v>
      </c>
      <c r="X125" s="2">
        <f t="shared" si="18"/>
        <v>0.53395876758095384</v>
      </c>
      <c r="Y125" s="2">
        <v>1.3307109996676449</v>
      </c>
      <c r="Z125" s="2">
        <f t="shared" si="19"/>
        <v>0.10770142982921586</v>
      </c>
      <c r="AA125">
        <v>2021</v>
      </c>
      <c r="AB125">
        <v>1</v>
      </c>
      <c r="AC125">
        <v>6000000</v>
      </c>
    </row>
    <row r="126" spans="1:29" x14ac:dyDescent="0.2">
      <c r="A126">
        <v>611</v>
      </c>
      <c r="B126" t="s">
        <v>71</v>
      </c>
      <c r="C126">
        <v>35</v>
      </c>
      <c r="D126">
        <v>3102</v>
      </c>
      <c r="E126">
        <v>6</v>
      </c>
      <c r="F126" s="2">
        <f t="shared" si="10"/>
        <v>0.17408123791102514</v>
      </c>
      <c r="G126" s="2">
        <v>3.111487084999681</v>
      </c>
      <c r="H126" s="2">
        <f t="shared" si="11"/>
        <v>9.0275253916818593E-2</v>
      </c>
      <c r="I126">
        <v>0</v>
      </c>
      <c r="J126" s="2">
        <f t="shared" si="12"/>
        <v>0</v>
      </c>
      <c r="K126" s="2">
        <v>8.121890015900135E-2</v>
      </c>
      <c r="L126" s="2">
        <f t="shared" si="13"/>
        <v>2.3564477802418189E-3</v>
      </c>
      <c r="M126">
        <v>20</v>
      </c>
      <c r="N126" s="2">
        <f t="shared" si="14"/>
        <v>0.58027079303675044</v>
      </c>
      <c r="O126">
        <v>3</v>
      </c>
      <c r="P126" s="2">
        <f t="shared" si="15"/>
        <v>8.7040618955512572E-2</v>
      </c>
      <c r="Q126" t="s">
        <v>224</v>
      </c>
      <c r="R126" t="s">
        <v>72</v>
      </c>
      <c r="S126">
        <v>6</v>
      </c>
      <c r="T126" s="2">
        <f t="shared" si="16"/>
        <v>0.17408123791102514</v>
      </c>
      <c r="U126" s="2">
        <v>3.111487084999681</v>
      </c>
      <c r="V126" s="2">
        <f t="shared" si="17"/>
        <v>9.0275253916818593E-2</v>
      </c>
      <c r="W126" s="2">
        <v>4.8946889452636242</v>
      </c>
      <c r="X126" s="2">
        <f t="shared" si="18"/>
        <v>0.14201225179681695</v>
      </c>
      <c r="Y126" s="2">
        <v>4.7947395294904709</v>
      </c>
      <c r="Z126" s="2">
        <f t="shared" si="19"/>
        <v>0.13911236545910458</v>
      </c>
      <c r="AA126">
        <v>2014</v>
      </c>
      <c r="AB126">
        <v>0</v>
      </c>
      <c r="AC126">
        <v>25000000</v>
      </c>
    </row>
    <row r="127" spans="1:29" x14ac:dyDescent="0.2">
      <c r="A127">
        <v>611</v>
      </c>
      <c r="B127" t="s">
        <v>71</v>
      </c>
      <c r="C127">
        <v>30</v>
      </c>
      <c r="D127">
        <v>2673</v>
      </c>
      <c r="E127">
        <v>1</v>
      </c>
      <c r="F127" s="2">
        <f t="shared" si="10"/>
        <v>3.3670033670033669E-2</v>
      </c>
      <c r="G127" s="2">
        <v>0.99266699235886335</v>
      </c>
      <c r="H127" s="2">
        <f t="shared" si="11"/>
        <v>3.342313105585399E-2</v>
      </c>
      <c r="I127">
        <v>0</v>
      </c>
      <c r="J127" s="2">
        <f t="shared" si="12"/>
        <v>0</v>
      </c>
      <c r="K127" s="2">
        <v>0.62814480811357498</v>
      </c>
      <c r="L127" s="2">
        <f t="shared" si="13"/>
        <v>2.1149656838840909E-2</v>
      </c>
      <c r="M127">
        <v>27</v>
      </c>
      <c r="N127" s="2">
        <f t="shared" si="14"/>
        <v>0.90909090909090917</v>
      </c>
      <c r="O127">
        <v>5</v>
      </c>
      <c r="P127" s="2">
        <f t="shared" si="15"/>
        <v>0.16835016835016833</v>
      </c>
      <c r="Q127" t="s">
        <v>224</v>
      </c>
      <c r="R127" t="s">
        <v>38</v>
      </c>
      <c r="S127">
        <v>1</v>
      </c>
      <c r="T127" s="2">
        <f t="shared" si="16"/>
        <v>3.3670033670033669E-2</v>
      </c>
      <c r="U127" s="2">
        <v>0.99266699235886335</v>
      </c>
      <c r="V127" s="2">
        <f t="shared" si="17"/>
        <v>3.342313105585399E-2</v>
      </c>
      <c r="W127" s="2">
        <v>6.7722156122326851</v>
      </c>
      <c r="X127" s="2">
        <f t="shared" si="18"/>
        <v>0.22802072768460221</v>
      </c>
      <c r="Y127" s="2">
        <v>6.6035149954259396</v>
      </c>
      <c r="Z127" s="2">
        <f t="shared" si="19"/>
        <v>0.22234057223656364</v>
      </c>
      <c r="AA127">
        <v>2015</v>
      </c>
      <c r="AB127">
        <v>0</v>
      </c>
      <c r="AC127">
        <v>32000000</v>
      </c>
    </row>
    <row r="128" spans="1:29" x14ac:dyDescent="0.2">
      <c r="A128">
        <v>611</v>
      </c>
      <c r="B128" t="s">
        <v>71</v>
      </c>
      <c r="C128">
        <v>30</v>
      </c>
      <c r="D128">
        <v>2588</v>
      </c>
      <c r="E128">
        <v>1</v>
      </c>
      <c r="F128" s="2">
        <f t="shared" si="10"/>
        <v>3.4775888717156103E-2</v>
      </c>
      <c r="G128" s="2">
        <v>1.055408085696399</v>
      </c>
      <c r="H128" s="2">
        <f t="shared" si="11"/>
        <v>3.6702754139364725E-2</v>
      </c>
      <c r="I128">
        <v>1</v>
      </c>
      <c r="J128" s="2">
        <f t="shared" si="12"/>
        <v>3.4775888717156103E-2</v>
      </c>
      <c r="K128" s="2">
        <v>1.159525323659182</v>
      </c>
      <c r="L128" s="2">
        <f t="shared" si="13"/>
        <v>4.0323523620296127E-2</v>
      </c>
      <c r="M128">
        <v>15</v>
      </c>
      <c r="N128" s="2">
        <f t="shared" si="14"/>
        <v>0.52163833075734156</v>
      </c>
      <c r="O128">
        <v>6</v>
      </c>
      <c r="P128" s="2">
        <f t="shared" si="15"/>
        <v>0.20865533230293662</v>
      </c>
      <c r="Q128" t="s">
        <v>224</v>
      </c>
      <c r="R128" t="s">
        <v>38</v>
      </c>
      <c r="S128">
        <v>1</v>
      </c>
      <c r="T128" s="2">
        <f t="shared" si="16"/>
        <v>3.4775888717156103E-2</v>
      </c>
      <c r="U128" s="2">
        <v>1.055408085696399</v>
      </c>
      <c r="V128" s="2">
        <f t="shared" si="17"/>
        <v>3.6702754139364725E-2</v>
      </c>
      <c r="W128" s="2">
        <v>11.596422753296791</v>
      </c>
      <c r="X128" s="2">
        <f t="shared" si="18"/>
        <v>0.40327590718574619</v>
      </c>
      <c r="Y128" s="2">
        <v>11.42504164483398</v>
      </c>
      <c r="Z128" s="2">
        <f t="shared" si="19"/>
        <v>0.39731597682962067</v>
      </c>
      <c r="AA128">
        <v>2016</v>
      </c>
      <c r="AB128">
        <v>1</v>
      </c>
      <c r="AC128">
        <v>30000000</v>
      </c>
    </row>
    <row r="129" spans="1:29" x14ac:dyDescent="0.2">
      <c r="A129">
        <v>611</v>
      </c>
      <c r="B129" t="s">
        <v>71</v>
      </c>
      <c r="C129">
        <v>34</v>
      </c>
      <c r="D129">
        <v>2975</v>
      </c>
      <c r="E129">
        <v>4</v>
      </c>
      <c r="F129" s="2">
        <f t="shared" si="10"/>
        <v>0.12100840336134454</v>
      </c>
      <c r="G129" s="2">
        <v>3.1900817072018981</v>
      </c>
      <c r="H129" s="2">
        <f t="shared" si="11"/>
        <v>9.6506673495183479E-2</v>
      </c>
      <c r="I129">
        <v>0</v>
      </c>
      <c r="J129" s="2">
        <f t="shared" si="12"/>
        <v>0</v>
      </c>
      <c r="K129" s="2">
        <v>1.160224708728492</v>
      </c>
      <c r="L129" s="2">
        <f t="shared" si="13"/>
        <v>3.5099234885903961E-2</v>
      </c>
      <c r="M129">
        <v>32</v>
      </c>
      <c r="N129" s="2">
        <f t="shared" si="14"/>
        <v>0.9680672268907563</v>
      </c>
      <c r="O129">
        <v>12</v>
      </c>
      <c r="P129" s="2">
        <f t="shared" si="15"/>
        <v>0.3630252100840336</v>
      </c>
      <c r="Q129" t="s">
        <v>224</v>
      </c>
      <c r="R129" t="s">
        <v>38</v>
      </c>
      <c r="S129">
        <v>4</v>
      </c>
      <c r="T129" s="2">
        <f t="shared" si="16"/>
        <v>0.12100840336134454</v>
      </c>
      <c r="U129" s="2">
        <v>3.1900817072018981</v>
      </c>
      <c r="V129" s="2">
        <f t="shared" si="17"/>
        <v>9.6506673495183479E-2</v>
      </c>
      <c r="W129" s="2">
        <v>19.01825296506286</v>
      </c>
      <c r="X129" s="2">
        <f t="shared" si="18"/>
        <v>0.57534210650610329</v>
      </c>
      <c r="Y129" s="2">
        <v>17.797392796725031</v>
      </c>
      <c r="Z129" s="2">
        <f t="shared" si="19"/>
        <v>0.53840852158159758</v>
      </c>
      <c r="AA129">
        <v>2017</v>
      </c>
      <c r="AB129">
        <v>1</v>
      </c>
      <c r="AC129">
        <v>35000000</v>
      </c>
    </row>
    <row r="130" spans="1:29" x14ac:dyDescent="0.2">
      <c r="A130">
        <v>615</v>
      </c>
      <c r="B130" t="s">
        <v>73</v>
      </c>
      <c r="C130">
        <v>34</v>
      </c>
      <c r="D130">
        <v>2648</v>
      </c>
      <c r="E130">
        <v>2</v>
      </c>
      <c r="F130" s="2">
        <f t="shared" si="10"/>
        <v>6.7975830815709973E-2</v>
      </c>
      <c r="G130" s="2">
        <v>2.827527547255158</v>
      </c>
      <c r="H130" s="2">
        <f t="shared" si="11"/>
        <v>9.6101767089487991E-2</v>
      </c>
      <c r="I130">
        <v>3</v>
      </c>
      <c r="J130" s="2">
        <f t="shared" si="12"/>
        <v>0.10196374622356497</v>
      </c>
      <c r="K130" s="2">
        <v>0.45906861126422882</v>
      </c>
      <c r="L130" s="2">
        <f t="shared" si="13"/>
        <v>1.5602785126050072E-2</v>
      </c>
      <c r="M130">
        <v>15</v>
      </c>
      <c r="N130" s="2">
        <f t="shared" si="14"/>
        <v>0.50981873111782472</v>
      </c>
      <c r="O130">
        <v>10</v>
      </c>
      <c r="P130" s="2">
        <f t="shared" si="15"/>
        <v>0.33987915407854985</v>
      </c>
      <c r="Q130" t="s">
        <v>223</v>
      </c>
      <c r="R130" t="s">
        <v>74</v>
      </c>
      <c r="S130">
        <v>2</v>
      </c>
      <c r="T130" s="2">
        <f t="shared" si="16"/>
        <v>6.7975830815709973E-2</v>
      </c>
      <c r="U130" s="2">
        <v>2.827527547255158</v>
      </c>
      <c r="V130" s="2">
        <f t="shared" si="17"/>
        <v>9.6101767089487991E-2</v>
      </c>
      <c r="W130" s="2">
        <v>7.776654340326786</v>
      </c>
      <c r="X130" s="2">
        <f t="shared" si="18"/>
        <v>0.2643122698751551</v>
      </c>
      <c r="Y130" s="2">
        <v>7.0674712369218469</v>
      </c>
      <c r="Z130" s="2">
        <f t="shared" si="19"/>
        <v>0.24020861454794795</v>
      </c>
      <c r="AA130">
        <v>2019</v>
      </c>
      <c r="AB130">
        <v>0</v>
      </c>
      <c r="AC130">
        <v>8000000</v>
      </c>
    </row>
    <row r="131" spans="1:29" x14ac:dyDescent="0.2">
      <c r="A131">
        <v>615</v>
      </c>
      <c r="B131" t="s">
        <v>73</v>
      </c>
      <c r="C131">
        <v>31</v>
      </c>
      <c r="D131">
        <v>2545</v>
      </c>
      <c r="E131">
        <v>3</v>
      </c>
      <c r="F131" s="2">
        <f t="shared" ref="F131:F194" si="20">E131/D131*90</f>
        <v>0.10609037328094302</v>
      </c>
      <c r="G131" s="2">
        <v>1.3993392419070001</v>
      </c>
      <c r="H131" s="2">
        <f t="shared" ref="H131:H194" si="21">G131/D131*90</f>
        <v>4.9485474173528492E-2</v>
      </c>
      <c r="I131">
        <v>4</v>
      </c>
      <c r="J131" s="2">
        <f t="shared" ref="J131:J194" si="22">I131/D131*90</f>
        <v>0.14145383104125736</v>
      </c>
      <c r="K131" s="2">
        <v>3.358239913359284</v>
      </c>
      <c r="L131" s="2">
        <f t="shared" ref="L131:L194" si="23">K131/D131*90</f>
        <v>0.11875897532508274</v>
      </c>
      <c r="M131">
        <v>6</v>
      </c>
      <c r="N131" s="2">
        <f t="shared" ref="N131:N194" si="24">M131/D131*90</f>
        <v>0.21218074656188604</v>
      </c>
      <c r="O131">
        <v>19</v>
      </c>
      <c r="P131" s="2">
        <f t="shared" ref="P131:P194" si="25">O131/D131*90</f>
        <v>0.67190569744597251</v>
      </c>
      <c r="Q131" t="s">
        <v>223</v>
      </c>
      <c r="R131" t="s">
        <v>74</v>
      </c>
      <c r="S131">
        <v>3</v>
      </c>
      <c r="T131" s="2">
        <f t="shared" ref="T131:T194" si="26">S131/D131*90</f>
        <v>0.10609037328094302</v>
      </c>
      <c r="U131" s="2">
        <v>1.3993392419070001</v>
      </c>
      <c r="V131" s="2">
        <f t="shared" ref="V131:V194" si="27">U131/D131*90</f>
        <v>4.9485474173528492E-2</v>
      </c>
      <c r="W131" s="2">
        <v>11.564927769824861</v>
      </c>
      <c r="X131" s="2">
        <f t="shared" ref="X131:X194" si="28">W131/D131*90</f>
        <v>0.40897583468928778</v>
      </c>
      <c r="Y131" s="2">
        <v>8.8768038433045149</v>
      </c>
      <c r="Z131" s="2">
        <f t="shared" ref="Z131:Z194" si="29">Y131/D131*90</f>
        <v>0.31391447775929521</v>
      </c>
      <c r="AA131">
        <v>2020</v>
      </c>
      <c r="AB131">
        <v>0</v>
      </c>
      <c r="AC131">
        <v>4000000</v>
      </c>
    </row>
    <row r="132" spans="1:29" x14ac:dyDescent="0.2">
      <c r="A132">
        <v>615</v>
      </c>
      <c r="B132" t="s">
        <v>73</v>
      </c>
      <c r="C132">
        <v>24</v>
      </c>
      <c r="D132">
        <v>1846</v>
      </c>
      <c r="E132">
        <v>1</v>
      </c>
      <c r="F132" s="2">
        <f t="shared" si="20"/>
        <v>4.8754062838569881E-2</v>
      </c>
      <c r="G132" s="2">
        <v>0.80284838378429413</v>
      </c>
      <c r="H132" s="2">
        <f t="shared" si="21"/>
        <v>3.9142120552863743E-2</v>
      </c>
      <c r="I132">
        <v>1</v>
      </c>
      <c r="J132" s="2">
        <f t="shared" si="22"/>
        <v>4.8754062838569881E-2</v>
      </c>
      <c r="K132" s="2">
        <v>0.28049140237271791</v>
      </c>
      <c r="L132" s="2">
        <f t="shared" si="23"/>
        <v>1.3675095456958079E-2</v>
      </c>
      <c r="M132">
        <v>6</v>
      </c>
      <c r="N132" s="2">
        <f t="shared" si="24"/>
        <v>0.29252437703141931</v>
      </c>
      <c r="O132">
        <v>6</v>
      </c>
      <c r="P132" s="2">
        <f t="shared" si="25"/>
        <v>0.29252437703141931</v>
      </c>
      <c r="Q132" t="s">
        <v>223</v>
      </c>
      <c r="R132" t="s">
        <v>74</v>
      </c>
      <c r="S132">
        <v>1</v>
      </c>
      <c r="T132" s="2">
        <f t="shared" si="26"/>
        <v>4.8754062838569881E-2</v>
      </c>
      <c r="U132" s="2">
        <v>0.80284838378429413</v>
      </c>
      <c r="V132" s="2">
        <f t="shared" si="27"/>
        <v>3.9142120552863743E-2</v>
      </c>
      <c r="W132" s="2">
        <v>6.6570819262415171</v>
      </c>
      <c r="X132" s="2">
        <f t="shared" si="28"/>
        <v>0.32455979055348677</v>
      </c>
      <c r="Y132" s="2">
        <v>5.8885232675820589</v>
      </c>
      <c r="Z132" s="2">
        <f t="shared" si="29"/>
        <v>0.28708943341407656</v>
      </c>
      <c r="AA132">
        <v>2021</v>
      </c>
      <c r="AB132">
        <v>1</v>
      </c>
      <c r="AC132">
        <v>4000000</v>
      </c>
    </row>
    <row r="133" spans="1:29" x14ac:dyDescent="0.2">
      <c r="A133">
        <v>615</v>
      </c>
      <c r="B133" t="s">
        <v>73</v>
      </c>
      <c r="C133">
        <v>22</v>
      </c>
      <c r="D133">
        <v>1590</v>
      </c>
      <c r="E133">
        <v>0</v>
      </c>
      <c r="F133" s="2">
        <f t="shared" si="20"/>
        <v>0</v>
      </c>
      <c r="G133" s="2">
        <v>0.2176484111696482</v>
      </c>
      <c r="H133" s="2">
        <f t="shared" si="21"/>
        <v>1.2319721386961219E-2</v>
      </c>
      <c r="I133">
        <v>1</v>
      </c>
      <c r="J133" s="2">
        <f t="shared" si="22"/>
        <v>5.6603773584905655E-2</v>
      </c>
      <c r="K133" s="2">
        <v>0.64109069481492043</v>
      </c>
      <c r="L133" s="2">
        <f t="shared" si="23"/>
        <v>3.628815253669361E-2</v>
      </c>
      <c r="M133">
        <v>6</v>
      </c>
      <c r="N133" s="2">
        <f t="shared" si="24"/>
        <v>0.33962264150943394</v>
      </c>
      <c r="O133">
        <v>9</v>
      </c>
      <c r="P133" s="2">
        <f t="shared" si="25"/>
        <v>0.50943396226415094</v>
      </c>
      <c r="Q133" t="s">
        <v>223</v>
      </c>
      <c r="R133" t="s">
        <v>74</v>
      </c>
      <c r="S133">
        <v>0</v>
      </c>
      <c r="T133" s="2">
        <f t="shared" si="26"/>
        <v>0</v>
      </c>
      <c r="U133" s="2">
        <v>0.2176484111696482</v>
      </c>
      <c r="V133" s="2">
        <f t="shared" si="27"/>
        <v>1.2319721386961219E-2</v>
      </c>
      <c r="W133" s="2">
        <v>3.3378488272428508</v>
      </c>
      <c r="X133" s="2">
        <f t="shared" si="28"/>
        <v>0.1889348392778972</v>
      </c>
      <c r="Y133" s="2">
        <v>2.660781491547823</v>
      </c>
      <c r="Z133" s="2">
        <f t="shared" si="29"/>
        <v>0.15061027310648056</v>
      </c>
      <c r="AA133">
        <v>2022</v>
      </c>
      <c r="AB133">
        <v>1</v>
      </c>
      <c r="AC133">
        <v>3000000</v>
      </c>
    </row>
    <row r="134" spans="1:29" x14ac:dyDescent="0.2">
      <c r="A134">
        <v>616</v>
      </c>
      <c r="B134" t="s">
        <v>75</v>
      </c>
      <c r="C134">
        <v>38</v>
      </c>
      <c r="D134">
        <v>3370</v>
      </c>
      <c r="E134">
        <v>0</v>
      </c>
      <c r="F134" s="2">
        <f t="shared" si="20"/>
        <v>0</v>
      </c>
      <c r="G134" s="2">
        <v>0.25456340052187437</v>
      </c>
      <c r="H134" s="2">
        <f t="shared" si="21"/>
        <v>6.7984290940559921E-3</v>
      </c>
      <c r="I134">
        <v>7</v>
      </c>
      <c r="J134" s="2">
        <f t="shared" si="22"/>
        <v>0.18694362017804153</v>
      </c>
      <c r="K134" s="2">
        <v>8.1771268462762237</v>
      </c>
      <c r="L134" s="2">
        <f t="shared" si="23"/>
        <v>0.21838024218541846</v>
      </c>
      <c r="M134">
        <v>11</v>
      </c>
      <c r="N134" s="2">
        <f t="shared" si="24"/>
        <v>0.29376854599406532</v>
      </c>
      <c r="O134">
        <v>62</v>
      </c>
      <c r="P134" s="2">
        <f t="shared" si="25"/>
        <v>1.6557863501483681</v>
      </c>
      <c r="Q134" t="s">
        <v>224</v>
      </c>
      <c r="R134" t="s">
        <v>74</v>
      </c>
      <c r="S134">
        <v>0</v>
      </c>
      <c r="T134" s="2">
        <f t="shared" si="26"/>
        <v>0</v>
      </c>
      <c r="U134" s="2">
        <v>0.25456340052187437</v>
      </c>
      <c r="V134" s="2">
        <f t="shared" si="27"/>
        <v>6.7984290940559921E-3</v>
      </c>
      <c r="W134" s="2">
        <v>16.593337338417768</v>
      </c>
      <c r="X134" s="2">
        <f t="shared" si="28"/>
        <v>0.44314550755418375</v>
      </c>
      <c r="Y134" s="2">
        <v>10.79971136525273</v>
      </c>
      <c r="Z134" s="2">
        <f t="shared" si="29"/>
        <v>0.28841959135689782</v>
      </c>
      <c r="AA134">
        <v>2019</v>
      </c>
      <c r="AB134">
        <v>0</v>
      </c>
      <c r="AC134">
        <v>3200000</v>
      </c>
    </row>
    <row r="135" spans="1:29" x14ac:dyDescent="0.2">
      <c r="A135">
        <v>616</v>
      </c>
      <c r="B135" t="s">
        <v>75</v>
      </c>
      <c r="C135">
        <v>34</v>
      </c>
      <c r="D135">
        <v>2847</v>
      </c>
      <c r="E135">
        <v>0</v>
      </c>
      <c r="F135" s="2">
        <f t="shared" si="20"/>
        <v>0</v>
      </c>
      <c r="G135" s="2">
        <v>1.249694714322686</v>
      </c>
      <c r="H135" s="2">
        <f t="shared" si="21"/>
        <v>3.9505628482276692E-2</v>
      </c>
      <c r="I135">
        <v>6</v>
      </c>
      <c r="J135" s="2">
        <f t="shared" si="22"/>
        <v>0.18967334035827185</v>
      </c>
      <c r="K135" s="2">
        <v>7.60072360932827</v>
      </c>
      <c r="L135" s="2">
        <f t="shared" si="23"/>
        <v>0.24027577268687894</v>
      </c>
      <c r="M135">
        <v>15</v>
      </c>
      <c r="N135" s="2">
        <f t="shared" si="24"/>
        <v>0.47418335089567965</v>
      </c>
      <c r="O135">
        <v>64</v>
      </c>
      <c r="P135" s="2">
        <f t="shared" si="25"/>
        <v>2.0231822971549001</v>
      </c>
      <c r="Q135" t="s">
        <v>224</v>
      </c>
      <c r="R135" t="s">
        <v>74</v>
      </c>
      <c r="S135">
        <v>0</v>
      </c>
      <c r="T135" s="2">
        <f t="shared" si="26"/>
        <v>0</v>
      </c>
      <c r="U135" s="2">
        <v>1.249694714322686</v>
      </c>
      <c r="V135" s="2">
        <f t="shared" si="27"/>
        <v>3.9505628482276692E-2</v>
      </c>
      <c r="W135" s="2">
        <v>14.75240079499781</v>
      </c>
      <c r="X135" s="2">
        <f t="shared" si="28"/>
        <v>0.46635618951521002</v>
      </c>
      <c r="Y135" s="2">
        <v>7.9063389524817467</v>
      </c>
      <c r="Z135" s="2">
        <f t="shared" si="29"/>
        <v>0.24993695318698883</v>
      </c>
      <c r="AA135">
        <v>2020</v>
      </c>
      <c r="AB135">
        <v>0</v>
      </c>
      <c r="AC135">
        <v>3000000</v>
      </c>
    </row>
    <row r="136" spans="1:29" x14ac:dyDescent="0.2">
      <c r="A136">
        <v>616</v>
      </c>
      <c r="B136" t="s">
        <v>75</v>
      </c>
      <c r="C136">
        <v>25</v>
      </c>
      <c r="D136">
        <v>1786</v>
      </c>
      <c r="E136">
        <v>0</v>
      </c>
      <c r="F136" s="2">
        <f t="shared" si="20"/>
        <v>0</v>
      </c>
      <c r="G136" s="2">
        <v>0.37156219594180578</v>
      </c>
      <c r="H136" s="2">
        <f t="shared" si="21"/>
        <v>1.8723738877246654E-2</v>
      </c>
      <c r="I136">
        <v>3</v>
      </c>
      <c r="J136" s="2">
        <f t="shared" si="22"/>
        <v>0.15117581187010076</v>
      </c>
      <c r="K136" s="2">
        <v>4.8572617322206497</v>
      </c>
      <c r="L136" s="2">
        <f t="shared" si="23"/>
        <v>0.24476682861134291</v>
      </c>
      <c r="M136">
        <v>10</v>
      </c>
      <c r="N136" s="2">
        <f t="shared" si="24"/>
        <v>0.50391937290033595</v>
      </c>
      <c r="O136">
        <v>36</v>
      </c>
      <c r="P136" s="2">
        <f t="shared" si="25"/>
        <v>1.8141097424412094</v>
      </c>
      <c r="Q136" t="s">
        <v>224</v>
      </c>
      <c r="R136" t="s">
        <v>74</v>
      </c>
      <c r="S136">
        <v>0</v>
      </c>
      <c r="T136" s="2">
        <f t="shared" si="26"/>
        <v>0</v>
      </c>
      <c r="U136" s="2">
        <v>0.37156219594180578</v>
      </c>
      <c r="V136" s="2">
        <f t="shared" si="27"/>
        <v>1.8723738877246654E-2</v>
      </c>
      <c r="W136" s="2">
        <v>10.52536692656577</v>
      </c>
      <c r="X136" s="2">
        <f t="shared" si="28"/>
        <v>0.53039363011809593</v>
      </c>
      <c r="Y136" s="2">
        <v>6.6590572241693744</v>
      </c>
      <c r="Z136" s="2">
        <f t="shared" si="29"/>
        <v>0.3355627940510883</v>
      </c>
      <c r="AA136">
        <v>2021</v>
      </c>
      <c r="AB136">
        <v>1</v>
      </c>
      <c r="AC136">
        <v>3000000</v>
      </c>
    </row>
    <row r="137" spans="1:29" x14ac:dyDescent="0.2">
      <c r="A137">
        <v>616</v>
      </c>
      <c r="B137" t="s">
        <v>75</v>
      </c>
      <c r="C137">
        <v>32</v>
      </c>
      <c r="D137">
        <v>1978</v>
      </c>
      <c r="E137">
        <v>0</v>
      </c>
      <c r="F137" s="2">
        <f t="shared" si="20"/>
        <v>0</v>
      </c>
      <c r="G137" s="2">
        <v>0.22864264994859701</v>
      </c>
      <c r="H137" s="2">
        <f t="shared" si="21"/>
        <v>1.0403356165507447E-2</v>
      </c>
      <c r="I137">
        <v>0</v>
      </c>
      <c r="J137" s="2">
        <f t="shared" si="22"/>
        <v>0</v>
      </c>
      <c r="K137" s="2">
        <v>2.0216827169060712</v>
      </c>
      <c r="L137" s="2">
        <f t="shared" si="23"/>
        <v>9.1987585703511829E-2</v>
      </c>
      <c r="M137">
        <v>10</v>
      </c>
      <c r="N137" s="2">
        <f t="shared" si="24"/>
        <v>0.45500505561172899</v>
      </c>
      <c r="O137">
        <v>26</v>
      </c>
      <c r="P137" s="2">
        <f t="shared" si="25"/>
        <v>1.1830131445904954</v>
      </c>
      <c r="Q137" t="s">
        <v>224</v>
      </c>
      <c r="R137" t="s">
        <v>74</v>
      </c>
      <c r="S137">
        <v>0</v>
      </c>
      <c r="T137" s="2">
        <f t="shared" si="26"/>
        <v>0</v>
      </c>
      <c r="U137" s="2">
        <v>0.22864264994859701</v>
      </c>
      <c r="V137" s="2">
        <f t="shared" si="27"/>
        <v>1.0403356165507447E-2</v>
      </c>
      <c r="W137" s="2">
        <v>6.8612742926925421</v>
      </c>
      <c r="X137" s="2">
        <f t="shared" si="28"/>
        <v>0.31219144911138969</v>
      </c>
      <c r="Y137" s="2">
        <v>5.2986952010542154</v>
      </c>
      <c r="Z137" s="2">
        <f t="shared" si="29"/>
        <v>0.24109331046252749</v>
      </c>
      <c r="AA137">
        <v>2022</v>
      </c>
      <c r="AB137">
        <v>1</v>
      </c>
      <c r="AC137">
        <v>3000000</v>
      </c>
    </row>
    <row r="138" spans="1:29" x14ac:dyDescent="0.2">
      <c r="A138">
        <v>633</v>
      </c>
      <c r="B138" t="s">
        <v>76</v>
      </c>
      <c r="C138">
        <v>38</v>
      </c>
      <c r="D138">
        <v>3095</v>
      </c>
      <c r="E138">
        <v>3</v>
      </c>
      <c r="F138" s="2">
        <f t="shared" si="20"/>
        <v>8.7237479806138926E-2</v>
      </c>
      <c r="G138" s="2">
        <v>4.5054253023117781</v>
      </c>
      <c r="H138" s="2">
        <f t="shared" si="21"/>
        <v>0.13101398294283037</v>
      </c>
      <c r="I138">
        <v>6</v>
      </c>
      <c r="J138" s="2">
        <f t="shared" si="22"/>
        <v>0.17447495961227785</v>
      </c>
      <c r="K138" s="2">
        <v>3.721206776797771</v>
      </c>
      <c r="L138" s="2">
        <f t="shared" si="23"/>
        <v>0.10820956701512097</v>
      </c>
      <c r="M138">
        <v>34</v>
      </c>
      <c r="N138" s="2">
        <f t="shared" si="24"/>
        <v>0.98869143780290791</v>
      </c>
      <c r="O138">
        <v>31</v>
      </c>
      <c r="P138" s="2">
        <f t="shared" si="25"/>
        <v>0.90145395799676897</v>
      </c>
      <c r="Q138" t="s">
        <v>223</v>
      </c>
      <c r="R138" t="s">
        <v>60</v>
      </c>
      <c r="S138">
        <v>3</v>
      </c>
      <c r="T138" s="2">
        <f t="shared" si="26"/>
        <v>8.7237479806138926E-2</v>
      </c>
      <c r="U138" s="2">
        <v>4.5054253023117781</v>
      </c>
      <c r="V138" s="2">
        <f t="shared" si="27"/>
        <v>0.13101398294283037</v>
      </c>
      <c r="W138" s="2">
        <v>11.979675862938169</v>
      </c>
      <c r="X138" s="2">
        <f t="shared" si="28"/>
        <v>0.3483589103923862</v>
      </c>
      <c r="Y138" s="2">
        <v>6.7731956075876951</v>
      </c>
      <c r="Z138" s="2">
        <f t="shared" si="29"/>
        <v>0.19695883834665351</v>
      </c>
      <c r="AA138">
        <v>2018</v>
      </c>
      <c r="AB138">
        <v>0</v>
      </c>
      <c r="AC138">
        <v>7000000</v>
      </c>
    </row>
    <row r="139" spans="1:29" x14ac:dyDescent="0.2">
      <c r="A139">
        <v>633</v>
      </c>
      <c r="B139" t="s">
        <v>76</v>
      </c>
      <c r="C139">
        <v>37</v>
      </c>
      <c r="D139">
        <v>3145</v>
      </c>
      <c r="E139">
        <v>0</v>
      </c>
      <c r="F139" s="2">
        <f t="shared" si="20"/>
        <v>0</v>
      </c>
      <c r="G139" s="2">
        <v>1.8058417215943341</v>
      </c>
      <c r="H139" s="2">
        <f t="shared" si="21"/>
        <v>5.1677505546419741E-2</v>
      </c>
      <c r="I139">
        <v>3</v>
      </c>
      <c r="J139" s="2">
        <f t="shared" si="22"/>
        <v>8.5850556438791734E-2</v>
      </c>
      <c r="K139" s="2">
        <v>2.99606547318399</v>
      </c>
      <c r="L139" s="2">
        <f t="shared" si="23"/>
        <v>8.5737962666632458E-2</v>
      </c>
      <c r="M139">
        <v>28</v>
      </c>
      <c r="N139" s="2">
        <f t="shared" si="24"/>
        <v>0.80127186009538953</v>
      </c>
      <c r="O139">
        <v>34</v>
      </c>
      <c r="P139" s="2">
        <f t="shared" si="25"/>
        <v>0.97297297297297303</v>
      </c>
      <c r="Q139" t="s">
        <v>223</v>
      </c>
      <c r="R139" t="s">
        <v>60</v>
      </c>
      <c r="S139">
        <v>0</v>
      </c>
      <c r="T139" s="2">
        <f t="shared" si="26"/>
        <v>0</v>
      </c>
      <c r="U139" s="2">
        <v>1.8058417215943341</v>
      </c>
      <c r="V139" s="2">
        <f t="shared" si="27"/>
        <v>5.1677505546419741E-2</v>
      </c>
      <c r="W139" s="2">
        <v>7.9898056145757437</v>
      </c>
      <c r="X139" s="2">
        <f t="shared" si="28"/>
        <v>0.22864308594970331</v>
      </c>
      <c r="Y139" s="2">
        <v>4.7620503176003686</v>
      </c>
      <c r="Z139" s="2">
        <f t="shared" si="29"/>
        <v>0.13627488985183883</v>
      </c>
      <c r="AA139">
        <v>2019</v>
      </c>
      <c r="AB139">
        <v>0</v>
      </c>
      <c r="AC139">
        <v>4800000</v>
      </c>
    </row>
    <row r="140" spans="1:29" x14ac:dyDescent="0.2">
      <c r="A140">
        <v>633</v>
      </c>
      <c r="B140" t="s">
        <v>76</v>
      </c>
      <c r="C140">
        <v>18</v>
      </c>
      <c r="D140">
        <v>1482</v>
      </c>
      <c r="E140">
        <v>0</v>
      </c>
      <c r="F140" s="2">
        <f t="shared" si="20"/>
        <v>0</v>
      </c>
      <c r="G140" s="2">
        <v>0.28225409518927341</v>
      </c>
      <c r="H140" s="2">
        <f t="shared" si="21"/>
        <v>1.7140936954814175E-2</v>
      </c>
      <c r="I140">
        <v>2</v>
      </c>
      <c r="J140" s="2">
        <f t="shared" si="22"/>
        <v>0.1214574898785425</v>
      </c>
      <c r="K140" s="2">
        <v>1.5203706570900981</v>
      </c>
      <c r="L140" s="2">
        <f t="shared" si="23"/>
        <v>9.2330201847576815E-2</v>
      </c>
      <c r="M140">
        <v>6</v>
      </c>
      <c r="N140" s="2">
        <f t="shared" si="24"/>
        <v>0.36437246963562753</v>
      </c>
      <c r="O140">
        <v>15</v>
      </c>
      <c r="P140" s="2">
        <f t="shared" si="25"/>
        <v>0.91093117408906887</v>
      </c>
      <c r="Q140" t="s">
        <v>223</v>
      </c>
      <c r="R140" t="s">
        <v>60</v>
      </c>
      <c r="S140">
        <v>0</v>
      </c>
      <c r="T140" s="2">
        <f t="shared" si="26"/>
        <v>0</v>
      </c>
      <c r="U140" s="2">
        <v>0.28225409518927341</v>
      </c>
      <c r="V140" s="2">
        <f t="shared" si="27"/>
        <v>1.7140936954814175E-2</v>
      </c>
      <c r="W140" s="2">
        <v>3.2456042659468949</v>
      </c>
      <c r="X140" s="2">
        <f t="shared" si="28"/>
        <v>0.19710147364049968</v>
      </c>
      <c r="Y140" s="2">
        <v>2.2573824785649781</v>
      </c>
      <c r="Z140" s="2">
        <f t="shared" si="29"/>
        <v>0.13708800477115252</v>
      </c>
      <c r="AA140">
        <v>2020</v>
      </c>
      <c r="AB140">
        <v>1</v>
      </c>
      <c r="AC140">
        <v>2000000</v>
      </c>
    </row>
    <row r="141" spans="1:29" x14ac:dyDescent="0.2">
      <c r="A141">
        <v>633</v>
      </c>
      <c r="B141" t="s">
        <v>76</v>
      </c>
      <c r="C141">
        <v>21</v>
      </c>
      <c r="D141">
        <v>1433</v>
      </c>
      <c r="E141">
        <v>0</v>
      </c>
      <c r="F141" s="2">
        <f t="shared" si="20"/>
        <v>0</v>
      </c>
      <c r="G141" s="2">
        <v>0.3072257936000824</v>
      </c>
      <c r="H141" s="2">
        <f t="shared" si="21"/>
        <v>1.929540922819778E-2</v>
      </c>
      <c r="I141">
        <v>3</v>
      </c>
      <c r="J141" s="2">
        <f t="shared" si="22"/>
        <v>0.18841591067690161</v>
      </c>
      <c r="K141" s="2">
        <v>1.270192982628942</v>
      </c>
      <c r="L141" s="2">
        <f t="shared" si="23"/>
        <v>7.9774855852480647E-2</v>
      </c>
      <c r="M141">
        <v>9</v>
      </c>
      <c r="N141" s="2">
        <f t="shared" si="24"/>
        <v>0.56524773203070489</v>
      </c>
      <c r="O141">
        <v>16</v>
      </c>
      <c r="P141" s="2">
        <f t="shared" si="25"/>
        <v>1.0048848569434752</v>
      </c>
      <c r="Q141" t="s">
        <v>223</v>
      </c>
      <c r="R141" t="s">
        <v>60</v>
      </c>
      <c r="S141">
        <v>0</v>
      </c>
      <c r="T141" s="2">
        <f t="shared" si="26"/>
        <v>0</v>
      </c>
      <c r="U141" s="2">
        <v>0.3072257936000824</v>
      </c>
      <c r="V141" s="2">
        <f t="shared" si="27"/>
        <v>1.929540922819778E-2</v>
      </c>
      <c r="W141" s="2">
        <v>4.852488286793232</v>
      </c>
      <c r="X141" s="2">
        <f t="shared" si="28"/>
        <v>0.30476199986838165</v>
      </c>
      <c r="Y141" s="2">
        <v>3.739218078553677</v>
      </c>
      <c r="Z141" s="2">
        <f t="shared" si="29"/>
        <v>0.23484272649674176</v>
      </c>
      <c r="AA141">
        <v>2021</v>
      </c>
      <c r="AB141">
        <v>1</v>
      </c>
      <c r="AC141">
        <v>1200000</v>
      </c>
    </row>
    <row r="142" spans="1:29" x14ac:dyDescent="0.2">
      <c r="A142">
        <v>644</v>
      </c>
      <c r="B142" t="s">
        <v>77</v>
      </c>
      <c r="C142">
        <v>25</v>
      </c>
      <c r="D142">
        <v>1190</v>
      </c>
      <c r="E142">
        <v>2</v>
      </c>
      <c r="F142" s="2">
        <f t="shared" si="20"/>
        <v>0.15126050420168069</v>
      </c>
      <c r="G142" s="2">
        <v>2.3099723160266881</v>
      </c>
      <c r="H142" s="2">
        <f t="shared" si="21"/>
        <v>0.17470378860706043</v>
      </c>
      <c r="I142">
        <v>1</v>
      </c>
      <c r="J142" s="2">
        <f t="shared" si="22"/>
        <v>7.5630252100840345E-2</v>
      </c>
      <c r="K142" s="2">
        <v>1.0113136172294619</v>
      </c>
      <c r="L142" s="2">
        <f t="shared" si="23"/>
        <v>7.648590382407694E-2</v>
      </c>
      <c r="M142">
        <v>29</v>
      </c>
      <c r="N142" s="2">
        <f t="shared" si="24"/>
        <v>2.1932773109243699</v>
      </c>
      <c r="O142">
        <v>18</v>
      </c>
      <c r="P142" s="2">
        <f t="shared" si="25"/>
        <v>1.3613445378151261</v>
      </c>
      <c r="Q142" t="s">
        <v>222</v>
      </c>
      <c r="R142" t="s">
        <v>78</v>
      </c>
      <c r="S142">
        <v>2</v>
      </c>
      <c r="T142" s="2">
        <f t="shared" si="26"/>
        <v>0.15126050420168069</v>
      </c>
      <c r="U142" s="2">
        <v>2.3099723160266881</v>
      </c>
      <c r="V142" s="2">
        <f t="shared" si="27"/>
        <v>0.17470378860706043</v>
      </c>
      <c r="W142" s="2">
        <v>6.6379194092005491</v>
      </c>
      <c r="X142" s="2">
        <f t="shared" si="28"/>
        <v>0.50202751834289872</v>
      </c>
      <c r="Y142" s="2">
        <v>4.4360787309706211</v>
      </c>
      <c r="Z142" s="2">
        <f t="shared" si="29"/>
        <v>0.33550175276248395</v>
      </c>
      <c r="AA142">
        <v>2019</v>
      </c>
      <c r="AB142">
        <v>0</v>
      </c>
      <c r="AC142">
        <v>16000000</v>
      </c>
    </row>
    <row r="143" spans="1:29" x14ac:dyDescent="0.2">
      <c r="A143">
        <v>644</v>
      </c>
      <c r="B143" t="s">
        <v>77</v>
      </c>
      <c r="C143">
        <v>23</v>
      </c>
      <c r="D143">
        <v>683</v>
      </c>
      <c r="E143">
        <v>1</v>
      </c>
      <c r="F143" s="2">
        <f t="shared" si="20"/>
        <v>0.13177159590043924</v>
      </c>
      <c r="G143" s="2">
        <v>1.289413206279278</v>
      </c>
      <c r="H143" s="2">
        <f t="shared" si="21"/>
        <v>0.16990803596652274</v>
      </c>
      <c r="I143">
        <v>0</v>
      </c>
      <c r="J143" s="2">
        <f t="shared" si="22"/>
        <v>0</v>
      </c>
      <c r="K143" s="2">
        <v>0.80583142302930355</v>
      </c>
      <c r="L143" s="2">
        <f t="shared" si="23"/>
        <v>0.1061856926392933</v>
      </c>
      <c r="M143">
        <v>21</v>
      </c>
      <c r="N143" s="2">
        <f t="shared" si="24"/>
        <v>2.7672035139092239</v>
      </c>
      <c r="O143">
        <v>8</v>
      </c>
      <c r="P143" s="2">
        <f t="shared" si="25"/>
        <v>1.0541727672035139</v>
      </c>
      <c r="Q143" t="s">
        <v>222</v>
      </c>
      <c r="R143" t="s">
        <v>78</v>
      </c>
      <c r="S143">
        <v>1</v>
      </c>
      <c r="T143" s="2">
        <f t="shared" si="26"/>
        <v>0.13177159590043924</v>
      </c>
      <c r="U143" s="2">
        <v>1.289413206279278</v>
      </c>
      <c r="V143" s="2">
        <f t="shared" si="27"/>
        <v>0.16990803596652274</v>
      </c>
      <c r="W143" s="2">
        <v>4.192472180351615</v>
      </c>
      <c r="X143" s="2">
        <f t="shared" si="28"/>
        <v>0.55244874997312643</v>
      </c>
      <c r="Y143" s="2">
        <v>2.8287964090704918</v>
      </c>
      <c r="Z143" s="2">
        <f t="shared" si="29"/>
        <v>0.37275501730065042</v>
      </c>
      <c r="AA143">
        <v>2020</v>
      </c>
      <c r="AB143">
        <v>0</v>
      </c>
      <c r="AC143">
        <v>16000000</v>
      </c>
    </row>
    <row r="144" spans="1:29" x14ac:dyDescent="0.2">
      <c r="A144">
        <v>644</v>
      </c>
      <c r="B144" t="s">
        <v>77</v>
      </c>
      <c r="C144">
        <v>20</v>
      </c>
      <c r="D144">
        <v>1008</v>
      </c>
      <c r="E144">
        <v>5</v>
      </c>
      <c r="F144" s="2">
        <f t="shared" si="20"/>
        <v>0.4464285714285714</v>
      </c>
      <c r="G144" s="2">
        <v>2.84443299472332</v>
      </c>
      <c r="H144" s="2">
        <f t="shared" si="21"/>
        <v>0.25396723167172497</v>
      </c>
      <c r="I144">
        <v>2</v>
      </c>
      <c r="J144" s="2">
        <f t="shared" si="22"/>
        <v>0.17857142857142855</v>
      </c>
      <c r="K144" s="2">
        <v>2.2227732911705971</v>
      </c>
      <c r="L144" s="2">
        <f t="shared" si="23"/>
        <v>0.19846190099737474</v>
      </c>
      <c r="M144">
        <v>21</v>
      </c>
      <c r="N144" s="2">
        <f t="shared" si="24"/>
        <v>1.875</v>
      </c>
      <c r="O144">
        <v>21</v>
      </c>
      <c r="P144" s="2">
        <f t="shared" si="25"/>
        <v>1.875</v>
      </c>
      <c r="Q144" t="s">
        <v>222</v>
      </c>
      <c r="R144" t="s">
        <v>74</v>
      </c>
      <c r="S144">
        <v>5</v>
      </c>
      <c r="T144" s="2">
        <f t="shared" si="26"/>
        <v>0.4464285714285714</v>
      </c>
      <c r="U144" s="2">
        <v>2.84443299472332</v>
      </c>
      <c r="V144" s="2">
        <f t="shared" si="27"/>
        <v>0.25396723167172497</v>
      </c>
      <c r="W144" s="2">
        <v>8.8388946205377579</v>
      </c>
      <c r="X144" s="2">
        <f t="shared" si="28"/>
        <v>0.78918701969087113</v>
      </c>
      <c r="Y144" s="2">
        <v>5.0065346322953701</v>
      </c>
      <c r="Z144" s="2">
        <f t="shared" si="29"/>
        <v>0.44701202074065804</v>
      </c>
      <c r="AA144">
        <v>2021</v>
      </c>
      <c r="AB144">
        <v>1</v>
      </c>
      <c r="AC144">
        <v>16000000</v>
      </c>
    </row>
    <row r="145" spans="1:29" x14ac:dyDescent="0.2">
      <c r="A145">
        <v>644</v>
      </c>
      <c r="B145" t="s">
        <v>77</v>
      </c>
      <c r="C145">
        <v>32</v>
      </c>
      <c r="D145">
        <v>1846</v>
      </c>
      <c r="E145">
        <v>6</v>
      </c>
      <c r="F145" s="2">
        <f t="shared" si="20"/>
        <v>0.29252437703141931</v>
      </c>
      <c r="G145" s="2">
        <v>6.223248302936554</v>
      </c>
      <c r="H145" s="2">
        <f t="shared" si="21"/>
        <v>0.30340863882139213</v>
      </c>
      <c r="I145">
        <v>0</v>
      </c>
      <c r="J145" s="2">
        <f t="shared" si="22"/>
        <v>0</v>
      </c>
      <c r="K145" s="2">
        <v>1.5323463045060639</v>
      </c>
      <c r="L145" s="2">
        <f t="shared" si="23"/>
        <v>7.4708108020338976E-2</v>
      </c>
      <c r="M145">
        <v>47</v>
      </c>
      <c r="N145" s="2">
        <f t="shared" si="24"/>
        <v>2.2914409534127844</v>
      </c>
      <c r="O145">
        <v>23</v>
      </c>
      <c r="P145" s="2">
        <f t="shared" si="25"/>
        <v>1.1213434452871072</v>
      </c>
      <c r="Q145" t="s">
        <v>222</v>
      </c>
      <c r="R145" t="s">
        <v>74</v>
      </c>
      <c r="S145">
        <v>6</v>
      </c>
      <c r="T145" s="2">
        <f t="shared" si="26"/>
        <v>0.29252437703141931</v>
      </c>
      <c r="U145" s="2">
        <v>6.223248302936554</v>
      </c>
      <c r="V145" s="2">
        <f t="shared" si="27"/>
        <v>0.30340863882139213</v>
      </c>
      <c r="W145" s="2">
        <v>9.5796218644827604</v>
      </c>
      <c r="X145" s="2">
        <f t="shared" si="28"/>
        <v>0.46704548635073051</v>
      </c>
      <c r="Y145" s="2">
        <v>3.9536945801228289</v>
      </c>
      <c r="Z145" s="2">
        <f t="shared" si="29"/>
        <v>0.19275867400382157</v>
      </c>
      <c r="AA145">
        <v>2022</v>
      </c>
      <c r="AB145">
        <v>1</v>
      </c>
      <c r="AC145">
        <v>9000000</v>
      </c>
    </row>
    <row r="146" spans="1:29" x14ac:dyDescent="0.2">
      <c r="A146">
        <v>672</v>
      </c>
      <c r="B146" t="s">
        <v>79</v>
      </c>
      <c r="C146">
        <v>20</v>
      </c>
      <c r="D146">
        <v>1200</v>
      </c>
      <c r="E146">
        <v>1</v>
      </c>
      <c r="F146" s="2">
        <f t="shared" si="20"/>
        <v>7.5000000000000011E-2</v>
      </c>
      <c r="G146" s="2">
        <v>2.6481411345303059</v>
      </c>
      <c r="H146" s="2">
        <f t="shared" si="21"/>
        <v>0.19861058508977295</v>
      </c>
      <c r="I146">
        <v>2</v>
      </c>
      <c r="J146" s="2">
        <f t="shared" si="22"/>
        <v>0.15000000000000002</v>
      </c>
      <c r="K146" s="2">
        <v>1.202731348574162</v>
      </c>
      <c r="L146" s="2">
        <f t="shared" si="23"/>
        <v>9.0204851143062148E-2</v>
      </c>
      <c r="M146">
        <v>27</v>
      </c>
      <c r="N146" s="2">
        <f t="shared" si="24"/>
        <v>2.0249999999999999</v>
      </c>
      <c r="O146">
        <v>16</v>
      </c>
      <c r="P146" s="2">
        <f t="shared" si="25"/>
        <v>1.2000000000000002</v>
      </c>
      <c r="Q146" s="3" t="s">
        <v>222</v>
      </c>
      <c r="R146" t="s">
        <v>60</v>
      </c>
      <c r="S146">
        <v>1</v>
      </c>
      <c r="T146" s="2">
        <f t="shared" si="26"/>
        <v>7.5000000000000011E-2</v>
      </c>
      <c r="U146" s="2">
        <v>2.6481411345303059</v>
      </c>
      <c r="V146" s="2">
        <f t="shared" si="27"/>
        <v>0.19861058508977295</v>
      </c>
      <c r="W146" s="2">
        <v>3.874552838504314</v>
      </c>
      <c r="X146" s="2">
        <f t="shared" si="28"/>
        <v>0.29059146288782356</v>
      </c>
      <c r="Y146" s="2">
        <v>1.115009715780616</v>
      </c>
      <c r="Z146" s="2">
        <f t="shared" si="29"/>
        <v>8.3625728683546202E-2</v>
      </c>
      <c r="AA146">
        <v>2018</v>
      </c>
      <c r="AB146">
        <v>0</v>
      </c>
      <c r="AC146">
        <v>8000000</v>
      </c>
    </row>
    <row r="147" spans="1:29" x14ac:dyDescent="0.2">
      <c r="A147">
        <v>672</v>
      </c>
      <c r="B147" t="s">
        <v>79</v>
      </c>
      <c r="C147">
        <v>37</v>
      </c>
      <c r="D147">
        <v>3196</v>
      </c>
      <c r="E147">
        <v>9</v>
      </c>
      <c r="F147" s="2">
        <f t="shared" si="20"/>
        <v>0.25344180225281598</v>
      </c>
      <c r="G147" s="2">
        <v>7.6761784646660089</v>
      </c>
      <c r="H147" s="2">
        <f t="shared" si="21"/>
        <v>0.21616272272213416</v>
      </c>
      <c r="I147">
        <v>2</v>
      </c>
      <c r="J147" s="2">
        <f t="shared" si="22"/>
        <v>5.6320400500625784E-2</v>
      </c>
      <c r="K147" s="2">
        <v>2.8646433558315039</v>
      </c>
      <c r="L147" s="2">
        <f t="shared" si="23"/>
        <v>8.0668930545943471E-2</v>
      </c>
      <c r="M147">
        <v>58</v>
      </c>
      <c r="N147" s="2">
        <f t="shared" si="24"/>
        <v>1.6332916145181475</v>
      </c>
      <c r="O147">
        <v>30</v>
      </c>
      <c r="P147" s="2">
        <f t="shared" si="25"/>
        <v>0.84480600750938684</v>
      </c>
      <c r="Q147" s="3" t="s">
        <v>222</v>
      </c>
      <c r="R147" t="s">
        <v>60</v>
      </c>
      <c r="S147">
        <v>9</v>
      </c>
      <c r="T147" s="2">
        <f t="shared" si="26"/>
        <v>0.25344180225281598</v>
      </c>
      <c r="U147" s="2">
        <v>7.6761784646660089</v>
      </c>
      <c r="V147" s="2">
        <f t="shared" si="27"/>
        <v>0.21616272272213416</v>
      </c>
      <c r="W147" s="2">
        <v>11.72133185900748</v>
      </c>
      <c r="X147" s="2">
        <f t="shared" si="28"/>
        <v>0.33007505235002288</v>
      </c>
      <c r="Y147" s="2">
        <v>3.8773924205452208</v>
      </c>
      <c r="Z147" s="2">
        <f t="shared" si="29"/>
        <v>0.10918814701159883</v>
      </c>
      <c r="AA147">
        <v>2019</v>
      </c>
      <c r="AB147">
        <v>0</v>
      </c>
      <c r="AC147">
        <v>10000000</v>
      </c>
    </row>
    <row r="148" spans="1:29" x14ac:dyDescent="0.2">
      <c r="A148">
        <v>672</v>
      </c>
      <c r="B148" t="s">
        <v>79</v>
      </c>
      <c r="C148">
        <v>33</v>
      </c>
      <c r="D148">
        <v>2097</v>
      </c>
      <c r="E148">
        <v>1</v>
      </c>
      <c r="F148" s="2">
        <f t="shared" si="20"/>
        <v>4.2918454935622317E-2</v>
      </c>
      <c r="G148" s="2">
        <v>2.58198132365942</v>
      </c>
      <c r="H148" s="2">
        <f t="shared" si="21"/>
        <v>0.11081464908409529</v>
      </c>
      <c r="I148">
        <v>3</v>
      </c>
      <c r="J148" s="2">
        <f t="shared" si="22"/>
        <v>0.12875536480686695</v>
      </c>
      <c r="K148" s="2">
        <v>0.8223462076857686</v>
      </c>
      <c r="L148" s="2">
        <f t="shared" si="23"/>
        <v>3.5293828656041575E-2</v>
      </c>
      <c r="M148">
        <v>26</v>
      </c>
      <c r="N148" s="2">
        <f t="shared" si="24"/>
        <v>1.1158798283261802</v>
      </c>
      <c r="O148">
        <v>13</v>
      </c>
      <c r="P148" s="2">
        <f t="shared" si="25"/>
        <v>0.55793991416309008</v>
      </c>
      <c r="Q148" s="3" t="s">
        <v>222</v>
      </c>
      <c r="R148" t="s">
        <v>60</v>
      </c>
      <c r="S148">
        <v>1</v>
      </c>
      <c r="T148" s="2">
        <f t="shared" si="26"/>
        <v>4.2918454935622317E-2</v>
      </c>
      <c r="U148" s="2">
        <v>2.58198132365942</v>
      </c>
      <c r="V148" s="2">
        <f t="shared" si="27"/>
        <v>0.11081464908409529</v>
      </c>
      <c r="W148" s="2">
        <v>5.2682706490159026</v>
      </c>
      <c r="X148" s="2">
        <f t="shared" si="28"/>
        <v>0.22610603643845076</v>
      </c>
      <c r="Y148" s="2">
        <v>2.6505747539922599</v>
      </c>
      <c r="Z148" s="2">
        <f t="shared" si="29"/>
        <v>0.11375857313271502</v>
      </c>
      <c r="AA148">
        <v>2020</v>
      </c>
      <c r="AB148">
        <v>1</v>
      </c>
      <c r="AC148">
        <v>8000000</v>
      </c>
    </row>
    <row r="149" spans="1:29" x14ac:dyDescent="0.2">
      <c r="A149">
        <v>672</v>
      </c>
      <c r="B149" t="s">
        <v>79</v>
      </c>
      <c r="C149">
        <v>31</v>
      </c>
      <c r="D149">
        <v>2036</v>
      </c>
      <c r="E149">
        <v>3</v>
      </c>
      <c r="F149" s="2">
        <f t="shared" si="20"/>
        <v>0.13261296660117877</v>
      </c>
      <c r="G149" s="2">
        <v>4.2903880160301924</v>
      </c>
      <c r="H149" s="2">
        <f t="shared" si="21"/>
        <v>0.1896536942253032</v>
      </c>
      <c r="I149">
        <v>3</v>
      </c>
      <c r="J149" s="2">
        <f t="shared" si="22"/>
        <v>0.13261296660117877</v>
      </c>
      <c r="K149" s="2">
        <v>3.0359251275658612</v>
      </c>
      <c r="L149" s="2">
        <f t="shared" si="23"/>
        <v>0.13420101251519034</v>
      </c>
      <c r="M149">
        <v>35</v>
      </c>
      <c r="N149" s="2">
        <f t="shared" si="24"/>
        <v>1.5471512770137525</v>
      </c>
      <c r="O149">
        <v>23</v>
      </c>
      <c r="P149" s="2">
        <f t="shared" si="25"/>
        <v>1.0166994106090375</v>
      </c>
      <c r="Q149" s="3" t="s">
        <v>222</v>
      </c>
      <c r="R149" t="s">
        <v>60</v>
      </c>
      <c r="S149">
        <v>3</v>
      </c>
      <c r="T149" s="2">
        <f t="shared" si="26"/>
        <v>0.13261296660117877</v>
      </c>
      <c r="U149" s="2">
        <v>4.2903880160301924</v>
      </c>
      <c r="V149" s="2">
        <f t="shared" si="27"/>
        <v>0.1896536942253032</v>
      </c>
      <c r="W149" s="2">
        <v>9.3387801814824343</v>
      </c>
      <c r="X149" s="2">
        <f t="shared" si="28"/>
        <v>0.41281444810089341</v>
      </c>
      <c r="Y149" s="2">
        <v>3.0739109199494119</v>
      </c>
      <c r="Z149" s="2">
        <f t="shared" si="29"/>
        <v>0.13588014872075005</v>
      </c>
      <c r="AA149">
        <v>2021</v>
      </c>
      <c r="AB149">
        <v>1</v>
      </c>
      <c r="AC149">
        <v>6000000</v>
      </c>
    </row>
    <row r="150" spans="1:29" x14ac:dyDescent="0.2">
      <c r="A150">
        <v>697</v>
      </c>
      <c r="B150" t="s">
        <v>80</v>
      </c>
      <c r="C150">
        <v>23</v>
      </c>
      <c r="D150">
        <v>1386</v>
      </c>
      <c r="E150">
        <v>0</v>
      </c>
      <c r="F150" s="2">
        <f t="shared" si="20"/>
        <v>0</v>
      </c>
      <c r="G150" s="2">
        <v>0.20441060140728951</v>
      </c>
      <c r="H150" s="2">
        <f t="shared" si="21"/>
        <v>1.327341567579802E-2</v>
      </c>
      <c r="I150">
        <v>4</v>
      </c>
      <c r="J150" s="2">
        <f t="shared" si="22"/>
        <v>0.25974025974025972</v>
      </c>
      <c r="K150" s="2">
        <v>1.8546463930979371</v>
      </c>
      <c r="L150" s="2">
        <f t="shared" si="23"/>
        <v>0.12043158396739852</v>
      </c>
      <c r="M150">
        <v>6</v>
      </c>
      <c r="N150" s="2">
        <f t="shared" si="24"/>
        <v>0.38961038961038963</v>
      </c>
      <c r="O150">
        <v>13</v>
      </c>
      <c r="P150" s="2">
        <f t="shared" si="25"/>
        <v>0.84415584415584421</v>
      </c>
      <c r="Q150" t="s">
        <v>223</v>
      </c>
      <c r="R150" t="s">
        <v>40</v>
      </c>
      <c r="S150">
        <v>0</v>
      </c>
      <c r="T150" s="2">
        <f t="shared" si="26"/>
        <v>0</v>
      </c>
      <c r="U150" s="2">
        <v>0.20441060140728951</v>
      </c>
      <c r="V150" s="2">
        <f t="shared" si="27"/>
        <v>1.327341567579802E-2</v>
      </c>
      <c r="W150" s="2">
        <v>7.1761577604338527</v>
      </c>
      <c r="X150" s="2">
        <f t="shared" si="28"/>
        <v>0.46598427015804234</v>
      </c>
      <c r="Y150" s="2">
        <v>5.4845741568133226</v>
      </c>
      <c r="Z150" s="2">
        <f t="shared" si="29"/>
        <v>0.35614117901385217</v>
      </c>
      <c r="AA150">
        <v>2021</v>
      </c>
      <c r="AB150">
        <v>0</v>
      </c>
      <c r="AC150">
        <v>5000000</v>
      </c>
    </row>
    <row r="151" spans="1:29" x14ac:dyDescent="0.2">
      <c r="A151">
        <v>697</v>
      </c>
      <c r="B151" t="s">
        <v>80</v>
      </c>
      <c r="C151">
        <v>35</v>
      </c>
      <c r="D151">
        <v>1795</v>
      </c>
      <c r="E151">
        <v>2</v>
      </c>
      <c r="F151" s="2">
        <f t="shared" si="20"/>
        <v>0.10027855153203342</v>
      </c>
      <c r="G151" s="2">
        <v>0.9273053091019392</v>
      </c>
      <c r="H151" s="2">
        <f t="shared" si="21"/>
        <v>4.6494416612353498E-2</v>
      </c>
      <c r="I151">
        <v>2</v>
      </c>
      <c r="J151" s="2">
        <f t="shared" si="22"/>
        <v>0.10027855153203342</v>
      </c>
      <c r="K151" s="2">
        <v>2.7092387108132239</v>
      </c>
      <c r="L151" s="2">
        <f t="shared" si="23"/>
        <v>0.13583926683743183</v>
      </c>
      <c r="M151">
        <v>11</v>
      </c>
      <c r="N151" s="2">
        <f t="shared" si="24"/>
        <v>0.55153203342618384</v>
      </c>
      <c r="O151">
        <v>24</v>
      </c>
      <c r="P151" s="2">
        <f t="shared" si="25"/>
        <v>1.2033426183844012</v>
      </c>
      <c r="Q151" t="s">
        <v>223</v>
      </c>
      <c r="R151" t="s">
        <v>81</v>
      </c>
      <c r="S151">
        <v>2</v>
      </c>
      <c r="T151" s="2">
        <f t="shared" si="26"/>
        <v>0.10027855153203342</v>
      </c>
      <c r="U151" s="2">
        <v>0.9273053091019392</v>
      </c>
      <c r="V151" s="2">
        <f t="shared" si="27"/>
        <v>4.6494416612353498E-2</v>
      </c>
      <c r="W151" s="2">
        <v>9.6206113509833795</v>
      </c>
      <c r="X151" s="2">
        <f t="shared" si="28"/>
        <v>0.48237048556462631</v>
      </c>
      <c r="Y151" s="2">
        <v>8.3464697971940041</v>
      </c>
      <c r="Z151" s="2">
        <f t="shared" si="29"/>
        <v>0.41848595083423978</v>
      </c>
      <c r="AA151">
        <v>2022</v>
      </c>
      <c r="AB151">
        <v>0</v>
      </c>
      <c r="AC151">
        <v>4000000</v>
      </c>
    </row>
    <row r="152" spans="1:29" x14ac:dyDescent="0.2">
      <c r="A152">
        <v>697</v>
      </c>
      <c r="B152" t="s">
        <v>80</v>
      </c>
      <c r="C152">
        <v>15</v>
      </c>
      <c r="D152">
        <v>1271</v>
      </c>
      <c r="E152">
        <v>0</v>
      </c>
      <c r="F152" s="2">
        <f t="shared" si="20"/>
        <v>0</v>
      </c>
      <c r="G152" s="2">
        <v>0.26766279339790339</v>
      </c>
      <c r="H152" s="2">
        <f t="shared" si="21"/>
        <v>1.8953305590724868E-2</v>
      </c>
      <c r="I152">
        <v>0</v>
      </c>
      <c r="J152" s="2">
        <f t="shared" si="22"/>
        <v>0</v>
      </c>
      <c r="K152" s="2">
        <v>0.42916646413505077</v>
      </c>
      <c r="L152" s="2">
        <f t="shared" si="23"/>
        <v>3.0389442779035856E-2</v>
      </c>
      <c r="M152">
        <v>6</v>
      </c>
      <c r="N152" s="2">
        <f t="shared" si="24"/>
        <v>0.42486231313926043</v>
      </c>
      <c r="O152">
        <v>7</v>
      </c>
      <c r="P152" s="2">
        <f t="shared" si="25"/>
        <v>0.49567269866247049</v>
      </c>
      <c r="Q152" t="s">
        <v>223</v>
      </c>
      <c r="R152" t="s">
        <v>82</v>
      </c>
      <c r="S152">
        <v>0</v>
      </c>
      <c r="T152" s="2">
        <f t="shared" si="26"/>
        <v>0</v>
      </c>
      <c r="U152" s="2">
        <v>0.26766279339790339</v>
      </c>
      <c r="V152" s="2">
        <f t="shared" si="27"/>
        <v>1.8953305590724868E-2</v>
      </c>
      <c r="W152" s="2">
        <v>6.432416707277298</v>
      </c>
      <c r="X152" s="2">
        <f t="shared" si="28"/>
        <v>0.45548190688824297</v>
      </c>
      <c r="Y152" s="2">
        <v>6.0371605753898621</v>
      </c>
      <c r="Z152" s="2">
        <f t="shared" si="29"/>
        <v>0.42749366780888087</v>
      </c>
      <c r="AA152">
        <v>2023</v>
      </c>
      <c r="AB152">
        <v>1</v>
      </c>
      <c r="AC152">
        <v>3000000</v>
      </c>
    </row>
    <row r="153" spans="1:29" x14ac:dyDescent="0.2">
      <c r="A153">
        <v>697</v>
      </c>
      <c r="B153" t="s">
        <v>80</v>
      </c>
      <c r="C153">
        <v>29</v>
      </c>
      <c r="D153">
        <v>2084</v>
      </c>
      <c r="E153">
        <v>0</v>
      </c>
      <c r="F153" s="2">
        <f t="shared" si="20"/>
        <v>0</v>
      </c>
      <c r="G153" s="2">
        <v>6.677292101085186E-2</v>
      </c>
      <c r="H153" s="2">
        <f t="shared" si="21"/>
        <v>2.8836674140962893E-3</v>
      </c>
      <c r="I153">
        <v>1</v>
      </c>
      <c r="J153" s="2">
        <f t="shared" si="22"/>
        <v>4.3186180422264873E-2</v>
      </c>
      <c r="K153" s="2">
        <v>1.4166410081088541</v>
      </c>
      <c r="L153" s="2">
        <f t="shared" si="23"/>
        <v>6.117931416976817E-2</v>
      </c>
      <c r="M153">
        <v>2</v>
      </c>
      <c r="N153" s="2">
        <f t="shared" si="24"/>
        <v>8.6372360844529747E-2</v>
      </c>
      <c r="O153">
        <v>17</v>
      </c>
      <c r="P153" s="2">
        <f t="shared" si="25"/>
        <v>0.73416506717850283</v>
      </c>
      <c r="Q153" t="s">
        <v>223</v>
      </c>
      <c r="R153" t="s">
        <v>82</v>
      </c>
      <c r="S153">
        <v>0</v>
      </c>
      <c r="T153" s="2">
        <f t="shared" si="26"/>
        <v>0</v>
      </c>
      <c r="U153" s="2">
        <v>6.677292101085186E-2</v>
      </c>
      <c r="V153" s="2">
        <f t="shared" si="27"/>
        <v>2.8836674140962893E-3</v>
      </c>
      <c r="W153" s="2">
        <v>11.46338207647204</v>
      </c>
      <c r="X153" s="2">
        <f t="shared" si="28"/>
        <v>0.49505968660387895</v>
      </c>
      <c r="Y153" s="2">
        <v>11.054130282253031</v>
      </c>
      <c r="Z153" s="2">
        <f t="shared" si="29"/>
        <v>0.47738566478060107</v>
      </c>
      <c r="AA153">
        <v>2024</v>
      </c>
      <c r="AB153">
        <v>1</v>
      </c>
      <c r="AC153">
        <v>2000000</v>
      </c>
    </row>
    <row r="154" spans="1:29" x14ac:dyDescent="0.2">
      <c r="A154">
        <v>757</v>
      </c>
      <c r="B154" t="s">
        <v>83</v>
      </c>
      <c r="C154">
        <v>30</v>
      </c>
      <c r="D154">
        <v>1650</v>
      </c>
      <c r="E154">
        <v>4</v>
      </c>
      <c r="F154" s="2">
        <f t="shared" si="20"/>
        <v>0.21818181818181817</v>
      </c>
      <c r="G154" s="2">
        <v>3.3034928217530251</v>
      </c>
      <c r="H154" s="2">
        <f t="shared" si="21"/>
        <v>0.18019051755016499</v>
      </c>
      <c r="I154">
        <v>1</v>
      </c>
      <c r="J154" s="2">
        <f t="shared" si="22"/>
        <v>5.4545454545454543E-2</v>
      </c>
      <c r="K154" s="2">
        <v>1.4070396767929201</v>
      </c>
      <c r="L154" s="2">
        <f t="shared" si="23"/>
        <v>7.6747618734159279E-2</v>
      </c>
      <c r="M154">
        <v>28</v>
      </c>
      <c r="N154" s="2">
        <f t="shared" si="24"/>
        <v>1.5272727272727273</v>
      </c>
      <c r="O154">
        <v>16</v>
      </c>
      <c r="P154" s="2">
        <f t="shared" si="25"/>
        <v>0.87272727272727268</v>
      </c>
      <c r="Q154" t="s">
        <v>223</v>
      </c>
      <c r="R154" t="s">
        <v>60</v>
      </c>
      <c r="S154">
        <v>4</v>
      </c>
      <c r="T154" s="2">
        <f t="shared" si="26"/>
        <v>0.21818181818181817</v>
      </c>
      <c r="U154" s="2">
        <v>3.3034928217530251</v>
      </c>
      <c r="V154" s="2">
        <f t="shared" si="27"/>
        <v>0.18019051755016499</v>
      </c>
      <c r="W154" s="2">
        <v>7.3532008994370699</v>
      </c>
      <c r="X154" s="2">
        <f t="shared" si="28"/>
        <v>0.40108368542384015</v>
      </c>
      <c r="Y154" s="2">
        <v>3.3193366676568981</v>
      </c>
      <c r="Z154" s="2">
        <f t="shared" si="29"/>
        <v>0.18105472732673988</v>
      </c>
      <c r="AA154">
        <v>2018</v>
      </c>
      <c r="AB154">
        <v>0</v>
      </c>
      <c r="AC154">
        <v>10000000</v>
      </c>
    </row>
    <row r="155" spans="1:29" x14ac:dyDescent="0.2">
      <c r="A155">
        <v>757</v>
      </c>
      <c r="B155" t="s">
        <v>83</v>
      </c>
      <c r="C155">
        <v>17</v>
      </c>
      <c r="D155">
        <v>1035</v>
      </c>
      <c r="E155">
        <v>3</v>
      </c>
      <c r="F155" s="2">
        <f t="shared" si="20"/>
        <v>0.2608695652173913</v>
      </c>
      <c r="G155" s="2">
        <v>2.1849742596969008</v>
      </c>
      <c r="H155" s="2">
        <f t="shared" si="21"/>
        <v>0.18999776171277399</v>
      </c>
      <c r="I155">
        <v>1</v>
      </c>
      <c r="J155" s="2">
        <f t="shared" si="22"/>
        <v>8.6956521739130432E-2</v>
      </c>
      <c r="K155" s="2">
        <v>0.94879679195582878</v>
      </c>
      <c r="L155" s="2">
        <f t="shared" si="23"/>
        <v>8.2504068865724242E-2</v>
      </c>
      <c r="M155">
        <v>18</v>
      </c>
      <c r="N155" s="2">
        <f t="shared" si="24"/>
        <v>1.5652173913043479</v>
      </c>
      <c r="O155">
        <v>7</v>
      </c>
      <c r="P155" s="2">
        <f t="shared" si="25"/>
        <v>0.60869565217391308</v>
      </c>
      <c r="Q155" t="s">
        <v>223</v>
      </c>
      <c r="R155" t="s">
        <v>60</v>
      </c>
      <c r="S155">
        <v>3</v>
      </c>
      <c r="T155" s="2">
        <f t="shared" si="26"/>
        <v>0.2608695652173913</v>
      </c>
      <c r="U155" s="2">
        <v>2.1849742596969008</v>
      </c>
      <c r="V155" s="2">
        <f t="shared" si="27"/>
        <v>0.18999776171277399</v>
      </c>
      <c r="W155" s="2">
        <v>3.242850081063807</v>
      </c>
      <c r="X155" s="2">
        <f t="shared" si="28"/>
        <v>0.2819869635707658</v>
      </c>
      <c r="Y155" s="2">
        <v>1.1285282894968991</v>
      </c>
      <c r="Z155" s="2">
        <f t="shared" si="29"/>
        <v>9.813289473886079E-2</v>
      </c>
      <c r="AA155">
        <v>2019</v>
      </c>
      <c r="AB155">
        <v>0</v>
      </c>
      <c r="AC155">
        <v>9500000</v>
      </c>
    </row>
    <row r="156" spans="1:29" x14ac:dyDescent="0.2">
      <c r="A156">
        <v>757</v>
      </c>
      <c r="B156" t="s">
        <v>83</v>
      </c>
      <c r="C156">
        <v>27</v>
      </c>
      <c r="D156">
        <v>1424</v>
      </c>
      <c r="E156">
        <v>2</v>
      </c>
      <c r="F156" s="2">
        <f t="shared" si="20"/>
        <v>0.12640449438202248</v>
      </c>
      <c r="G156" s="2">
        <v>2.0151109211146832</v>
      </c>
      <c r="H156" s="2">
        <f t="shared" si="21"/>
        <v>0.12735953855359655</v>
      </c>
      <c r="I156">
        <v>3</v>
      </c>
      <c r="J156" s="2">
        <f t="shared" si="22"/>
        <v>0.1896067415730337</v>
      </c>
      <c r="K156" s="2">
        <v>2.572583226487041</v>
      </c>
      <c r="L156" s="2">
        <f t="shared" si="23"/>
        <v>0.1625930409998832</v>
      </c>
      <c r="M156">
        <v>18</v>
      </c>
      <c r="N156" s="2">
        <f t="shared" si="24"/>
        <v>1.1376404494382022</v>
      </c>
      <c r="O156">
        <v>18</v>
      </c>
      <c r="P156" s="2">
        <f t="shared" si="25"/>
        <v>1.1376404494382022</v>
      </c>
      <c r="Q156" t="s">
        <v>223</v>
      </c>
      <c r="R156" t="s">
        <v>60</v>
      </c>
      <c r="S156">
        <v>2</v>
      </c>
      <c r="T156" s="2">
        <f t="shared" si="26"/>
        <v>0.12640449438202248</v>
      </c>
      <c r="U156" s="2">
        <v>2.0151109211146832</v>
      </c>
      <c r="V156" s="2">
        <f t="shared" si="27"/>
        <v>0.12735953855359655</v>
      </c>
      <c r="W156" s="2">
        <v>5.1580313351005316</v>
      </c>
      <c r="X156" s="2">
        <f t="shared" si="28"/>
        <v>0.32599917146000551</v>
      </c>
      <c r="Y156" s="2">
        <v>3.466960215941072</v>
      </c>
      <c r="Z156" s="2">
        <f t="shared" si="29"/>
        <v>0.21911967656930934</v>
      </c>
      <c r="AA156">
        <v>2020</v>
      </c>
      <c r="AB156">
        <v>1</v>
      </c>
      <c r="AC156">
        <v>9000000</v>
      </c>
    </row>
    <row r="157" spans="1:29" x14ac:dyDescent="0.2">
      <c r="A157">
        <v>757</v>
      </c>
      <c r="B157" t="s">
        <v>83</v>
      </c>
      <c r="C157">
        <v>32</v>
      </c>
      <c r="D157">
        <v>1836</v>
      </c>
      <c r="E157">
        <v>4</v>
      </c>
      <c r="F157" s="2">
        <f t="shared" si="20"/>
        <v>0.19607843137254904</v>
      </c>
      <c r="G157" s="2">
        <v>3.6296191411092882</v>
      </c>
      <c r="H157" s="2">
        <f t="shared" si="21"/>
        <v>0.17792250691712197</v>
      </c>
      <c r="I157">
        <v>1</v>
      </c>
      <c r="J157" s="2">
        <f t="shared" si="22"/>
        <v>4.9019607843137261E-2</v>
      </c>
      <c r="K157" s="2">
        <v>2.031466662883759</v>
      </c>
      <c r="L157" s="2">
        <f t="shared" si="23"/>
        <v>9.9581699160968581E-2</v>
      </c>
      <c r="M157">
        <v>33</v>
      </c>
      <c r="N157" s="2">
        <f t="shared" si="24"/>
        <v>1.6176470588235292</v>
      </c>
      <c r="O157">
        <v>18</v>
      </c>
      <c r="P157" s="2">
        <f t="shared" si="25"/>
        <v>0.88235294117647056</v>
      </c>
      <c r="Q157" t="s">
        <v>223</v>
      </c>
      <c r="R157" t="s">
        <v>60</v>
      </c>
      <c r="S157">
        <v>4</v>
      </c>
      <c r="T157" s="2">
        <f t="shared" si="26"/>
        <v>0.19607843137254904</v>
      </c>
      <c r="U157" s="2">
        <v>3.6296191411092882</v>
      </c>
      <c r="V157" s="2">
        <f t="shared" si="27"/>
        <v>0.17792250691712197</v>
      </c>
      <c r="W157" s="2">
        <v>7.0597257725894451</v>
      </c>
      <c r="X157" s="2">
        <f t="shared" si="28"/>
        <v>0.34606498885242382</v>
      </c>
      <c r="Y157" s="2">
        <v>2.934892719611526</v>
      </c>
      <c r="Z157" s="2">
        <f t="shared" si="29"/>
        <v>0.14386729017703559</v>
      </c>
      <c r="AA157">
        <v>2021</v>
      </c>
      <c r="AB157">
        <v>1</v>
      </c>
      <c r="AC157">
        <v>8000000</v>
      </c>
    </row>
    <row r="158" spans="1:29" x14ac:dyDescent="0.2">
      <c r="A158">
        <v>900</v>
      </c>
      <c r="B158" t="s">
        <v>84</v>
      </c>
      <c r="C158">
        <v>29</v>
      </c>
      <c r="D158">
        <v>879</v>
      </c>
      <c r="E158">
        <v>1</v>
      </c>
      <c r="F158" s="2">
        <f t="shared" si="20"/>
        <v>0.10238907849829351</v>
      </c>
      <c r="G158" s="2">
        <v>1.255487499758601</v>
      </c>
      <c r="H158" s="2">
        <f t="shared" si="21"/>
        <v>0.12854820816640966</v>
      </c>
      <c r="I158">
        <v>1</v>
      </c>
      <c r="J158" s="2">
        <f t="shared" si="22"/>
        <v>0.10238907849829351</v>
      </c>
      <c r="K158" s="2">
        <v>2.2048873584717512</v>
      </c>
      <c r="L158" s="2">
        <f t="shared" si="23"/>
        <v>0.22575638482645918</v>
      </c>
      <c r="M158">
        <v>19</v>
      </c>
      <c r="N158" s="2">
        <f t="shared" si="24"/>
        <v>1.9453924914675769</v>
      </c>
      <c r="O158">
        <v>17</v>
      </c>
      <c r="P158" s="2">
        <f t="shared" si="25"/>
        <v>1.7406143344709899</v>
      </c>
      <c r="Q158" t="s">
        <v>222</v>
      </c>
      <c r="R158" t="s">
        <v>85</v>
      </c>
      <c r="S158">
        <v>1</v>
      </c>
      <c r="T158" s="2">
        <f t="shared" si="26"/>
        <v>0.10238907849829351</v>
      </c>
      <c r="U158" s="2">
        <v>1.255487499758601</v>
      </c>
      <c r="V158" s="2">
        <f t="shared" si="27"/>
        <v>0.12854820816640966</v>
      </c>
      <c r="W158" s="2">
        <v>5.7009211853146553</v>
      </c>
      <c r="X158" s="2">
        <f t="shared" si="28"/>
        <v>0.5837120667557667</v>
      </c>
      <c r="Y158" s="2">
        <v>2.437513511627913</v>
      </c>
      <c r="Z158" s="2">
        <f t="shared" si="29"/>
        <v>0.24957476228272149</v>
      </c>
      <c r="AA158">
        <v>2018</v>
      </c>
      <c r="AB158">
        <v>0</v>
      </c>
      <c r="AC158">
        <v>15000000</v>
      </c>
    </row>
    <row r="159" spans="1:29" x14ac:dyDescent="0.2">
      <c r="A159">
        <v>900</v>
      </c>
      <c r="B159" t="s">
        <v>84</v>
      </c>
      <c r="C159">
        <v>37</v>
      </c>
      <c r="D159">
        <v>2596</v>
      </c>
      <c r="E159">
        <v>4</v>
      </c>
      <c r="F159" s="2">
        <f t="shared" si="20"/>
        <v>0.13867488443759632</v>
      </c>
      <c r="G159" s="2">
        <v>3.707336662337184</v>
      </c>
      <c r="H159" s="2">
        <f t="shared" si="21"/>
        <v>0.12852862080521824</v>
      </c>
      <c r="I159">
        <v>9</v>
      </c>
      <c r="J159" s="2">
        <f t="shared" si="22"/>
        <v>0.3120184899845917</v>
      </c>
      <c r="K159" s="2">
        <v>7.5510333199054003</v>
      </c>
      <c r="L159" s="2">
        <f t="shared" si="23"/>
        <v>0.26178466825558017</v>
      </c>
      <c r="M159">
        <v>43</v>
      </c>
      <c r="N159" s="2">
        <f t="shared" si="24"/>
        <v>1.4907550077041605</v>
      </c>
      <c r="O159">
        <v>49</v>
      </c>
      <c r="P159" s="2">
        <f t="shared" si="25"/>
        <v>1.6987673343605547</v>
      </c>
      <c r="Q159" t="s">
        <v>222</v>
      </c>
      <c r="R159" t="s">
        <v>85</v>
      </c>
      <c r="S159">
        <v>4</v>
      </c>
      <c r="T159" s="2">
        <f t="shared" si="26"/>
        <v>0.13867488443759632</v>
      </c>
      <c r="U159" s="2">
        <v>3.707336662337184</v>
      </c>
      <c r="V159" s="2">
        <f t="shared" si="27"/>
        <v>0.12852862080521824</v>
      </c>
      <c r="W159" s="2">
        <v>15.27228936553001</v>
      </c>
      <c r="X159" s="2">
        <f t="shared" si="28"/>
        <v>0.5294707407156013</v>
      </c>
      <c r="Y159" s="2">
        <v>5.6553997965529561</v>
      </c>
      <c r="Z159" s="2">
        <f t="shared" si="29"/>
        <v>0.19606547830884669</v>
      </c>
      <c r="AA159">
        <v>2019</v>
      </c>
      <c r="AB159">
        <v>0</v>
      </c>
      <c r="AC159">
        <v>35000000</v>
      </c>
    </row>
    <row r="160" spans="1:29" x14ac:dyDescent="0.2">
      <c r="A160">
        <v>900</v>
      </c>
      <c r="B160" t="s">
        <v>84</v>
      </c>
      <c r="C160">
        <v>37</v>
      </c>
      <c r="D160">
        <v>2630</v>
      </c>
      <c r="E160">
        <v>2</v>
      </c>
      <c r="F160" s="2">
        <f t="shared" si="20"/>
        <v>6.8441064638783272E-2</v>
      </c>
      <c r="G160" s="2">
        <v>2.0761523256078358</v>
      </c>
      <c r="H160" s="2">
        <f t="shared" si="21"/>
        <v>7.1047037758443052E-2</v>
      </c>
      <c r="I160">
        <v>2</v>
      </c>
      <c r="J160" s="2">
        <f t="shared" si="22"/>
        <v>6.8441064638783272E-2</v>
      </c>
      <c r="K160" s="2">
        <v>5.2716716909781098</v>
      </c>
      <c r="L160" s="2">
        <f t="shared" si="23"/>
        <v>0.18039941147833838</v>
      </c>
      <c r="M160">
        <v>43</v>
      </c>
      <c r="N160" s="2">
        <f t="shared" si="24"/>
        <v>1.4714828897338406</v>
      </c>
      <c r="O160">
        <v>55</v>
      </c>
      <c r="P160" s="2">
        <f t="shared" si="25"/>
        <v>1.8821292775665397</v>
      </c>
      <c r="Q160" t="s">
        <v>222</v>
      </c>
      <c r="R160" t="s">
        <v>85</v>
      </c>
      <c r="S160">
        <v>2</v>
      </c>
      <c r="T160" s="2">
        <f t="shared" si="26"/>
        <v>6.8441064638783272E-2</v>
      </c>
      <c r="U160" s="2">
        <v>2.0761523256078358</v>
      </c>
      <c r="V160" s="2">
        <f t="shared" si="27"/>
        <v>7.1047037758443052E-2</v>
      </c>
      <c r="W160" s="2">
        <v>9.4750932082533836</v>
      </c>
      <c r="X160" s="2">
        <f t="shared" si="28"/>
        <v>0.3242427333622831</v>
      </c>
      <c r="Y160" s="2">
        <v>3.0063984766602521</v>
      </c>
      <c r="Z160" s="2">
        <f t="shared" si="29"/>
        <v>0.10288055623552193</v>
      </c>
      <c r="AA160">
        <v>2020</v>
      </c>
      <c r="AB160">
        <v>1</v>
      </c>
      <c r="AC160">
        <v>30000000</v>
      </c>
    </row>
    <row r="161" spans="1:29" x14ac:dyDescent="0.2">
      <c r="A161">
        <v>900</v>
      </c>
      <c r="B161" t="s">
        <v>84</v>
      </c>
      <c r="C161">
        <v>20</v>
      </c>
      <c r="D161">
        <v>1047</v>
      </c>
      <c r="E161">
        <v>1</v>
      </c>
      <c r="F161" s="2">
        <f t="shared" si="20"/>
        <v>8.5959885386819479E-2</v>
      </c>
      <c r="G161" s="2">
        <v>2.834239829331636</v>
      </c>
      <c r="H161" s="2">
        <f t="shared" si="21"/>
        <v>0.24363093088810622</v>
      </c>
      <c r="I161">
        <v>0</v>
      </c>
      <c r="J161" s="2">
        <f t="shared" si="22"/>
        <v>0</v>
      </c>
      <c r="K161" s="2">
        <v>1.3370988294482229</v>
      </c>
      <c r="L161" s="2">
        <f t="shared" si="23"/>
        <v>0.11493686213021972</v>
      </c>
      <c r="M161">
        <v>23</v>
      </c>
      <c r="N161" s="2">
        <f t="shared" si="24"/>
        <v>1.977077363896848</v>
      </c>
      <c r="O161">
        <v>18</v>
      </c>
      <c r="P161" s="2">
        <f t="shared" si="25"/>
        <v>1.5472779369627507</v>
      </c>
      <c r="Q161" t="s">
        <v>222</v>
      </c>
      <c r="R161" t="s">
        <v>85</v>
      </c>
      <c r="S161">
        <v>1</v>
      </c>
      <c r="T161" s="2">
        <f t="shared" si="26"/>
        <v>8.5959885386819479E-2</v>
      </c>
      <c r="U161" s="2">
        <v>2.834239829331636</v>
      </c>
      <c r="V161" s="2">
        <f t="shared" si="27"/>
        <v>0.24363093088810622</v>
      </c>
      <c r="W161" s="2">
        <v>4.7574909999966621</v>
      </c>
      <c r="X161" s="2">
        <f t="shared" si="28"/>
        <v>0.40895338108853829</v>
      </c>
      <c r="Y161" s="2">
        <v>0.90768961794674397</v>
      </c>
      <c r="Z161" s="2">
        <f t="shared" si="29"/>
        <v>7.8024895525508078E-2</v>
      </c>
      <c r="AA161">
        <v>2021</v>
      </c>
      <c r="AB161">
        <v>1</v>
      </c>
      <c r="AC161">
        <v>20000000</v>
      </c>
    </row>
    <row r="162" spans="1:29" x14ac:dyDescent="0.2">
      <c r="A162">
        <v>935</v>
      </c>
      <c r="B162" t="s">
        <v>86</v>
      </c>
      <c r="C162">
        <v>24</v>
      </c>
      <c r="D162">
        <v>2024</v>
      </c>
      <c r="E162">
        <v>5</v>
      </c>
      <c r="F162" s="2">
        <f t="shared" si="20"/>
        <v>0.22233201581027667</v>
      </c>
      <c r="G162" s="2">
        <v>3.13685405626893</v>
      </c>
      <c r="H162" s="2">
        <f t="shared" si="21"/>
        <v>0.13948461712658286</v>
      </c>
      <c r="I162">
        <v>0</v>
      </c>
      <c r="J162" s="2">
        <f t="shared" si="22"/>
        <v>0</v>
      </c>
      <c r="K162" s="2">
        <v>8.1466900184750557E-2</v>
      </c>
      <c r="L162" s="2">
        <f t="shared" si="23"/>
        <v>3.6225400279780388E-3</v>
      </c>
      <c r="M162">
        <v>27</v>
      </c>
      <c r="N162" s="2">
        <f t="shared" si="24"/>
        <v>1.2005928853754939</v>
      </c>
      <c r="O162">
        <v>4</v>
      </c>
      <c r="P162" s="2">
        <f t="shared" si="25"/>
        <v>0.17786561264822134</v>
      </c>
      <c r="Q162" t="s">
        <v>224</v>
      </c>
      <c r="R162" t="s">
        <v>56</v>
      </c>
      <c r="S162">
        <v>5</v>
      </c>
      <c r="T162" s="2">
        <f t="shared" si="26"/>
        <v>0.22233201581027667</v>
      </c>
      <c r="U162" s="2">
        <v>3.13685405626893</v>
      </c>
      <c r="V162" s="2">
        <f t="shared" si="27"/>
        <v>0.13948461712658286</v>
      </c>
      <c r="W162" s="2">
        <v>6.2161468872800469</v>
      </c>
      <c r="X162" s="2">
        <f t="shared" si="28"/>
        <v>0.27640969360434992</v>
      </c>
      <c r="Y162" s="2">
        <v>6.1331349024549127</v>
      </c>
      <c r="Z162" s="2">
        <f t="shared" si="29"/>
        <v>0.27271844921983307</v>
      </c>
      <c r="AA162">
        <v>2020</v>
      </c>
      <c r="AB162">
        <v>0</v>
      </c>
      <c r="AC162">
        <v>32000000</v>
      </c>
    </row>
    <row r="163" spans="1:29" x14ac:dyDescent="0.2">
      <c r="A163">
        <v>935</v>
      </c>
      <c r="B163" t="s">
        <v>86</v>
      </c>
      <c r="C163">
        <v>24</v>
      </c>
      <c r="D163">
        <v>2083</v>
      </c>
      <c r="E163">
        <v>1</v>
      </c>
      <c r="F163" s="2">
        <f t="shared" si="20"/>
        <v>4.3206913106096971E-2</v>
      </c>
      <c r="G163" s="2">
        <v>0.81306959316134453</v>
      </c>
      <c r="H163" s="2">
        <f t="shared" si="21"/>
        <v>3.5130227260931832E-2</v>
      </c>
      <c r="I163">
        <v>0</v>
      </c>
      <c r="J163" s="2">
        <f t="shared" si="22"/>
        <v>0</v>
      </c>
      <c r="K163" s="2">
        <v>8.388340100646019E-2</v>
      </c>
      <c r="L163" s="2">
        <f t="shared" si="23"/>
        <v>3.6243428183300131E-3</v>
      </c>
      <c r="M163">
        <v>6</v>
      </c>
      <c r="N163" s="2">
        <f t="shared" si="24"/>
        <v>0.25924147863658187</v>
      </c>
      <c r="O163">
        <v>2</v>
      </c>
      <c r="P163" s="2">
        <f t="shared" si="25"/>
        <v>8.6413826212193942E-2</v>
      </c>
      <c r="Q163" t="s">
        <v>224</v>
      </c>
      <c r="R163" t="s">
        <v>62</v>
      </c>
      <c r="S163">
        <v>1</v>
      </c>
      <c r="T163" s="2">
        <f t="shared" si="26"/>
        <v>4.3206913106096971E-2</v>
      </c>
      <c r="U163" s="2">
        <v>0.81306959316134453</v>
      </c>
      <c r="V163" s="2">
        <f t="shared" si="27"/>
        <v>3.5130227260931832E-2</v>
      </c>
      <c r="W163" s="2">
        <v>4.4502152530476451</v>
      </c>
      <c r="X163" s="2">
        <f t="shared" si="28"/>
        <v>0.19228006374185697</v>
      </c>
      <c r="Y163" s="2">
        <v>4.3193863546475768</v>
      </c>
      <c r="Z163" s="2">
        <f t="shared" si="29"/>
        <v>0.18662735089691881</v>
      </c>
      <c r="AA163">
        <v>2021</v>
      </c>
      <c r="AB163">
        <v>0</v>
      </c>
      <c r="AC163">
        <v>28000000</v>
      </c>
    </row>
    <row r="164" spans="1:29" x14ac:dyDescent="0.2">
      <c r="A164">
        <v>935</v>
      </c>
      <c r="B164" t="s">
        <v>86</v>
      </c>
      <c r="C164">
        <v>25</v>
      </c>
      <c r="D164">
        <v>1990</v>
      </c>
      <c r="E164">
        <v>2</v>
      </c>
      <c r="F164" s="2">
        <f t="shared" si="20"/>
        <v>9.0452261306532666E-2</v>
      </c>
      <c r="G164" s="2">
        <v>2.125173594802618</v>
      </c>
      <c r="H164" s="2">
        <f t="shared" si="21"/>
        <v>9.6113378659414897E-2</v>
      </c>
      <c r="I164">
        <v>0</v>
      </c>
      <c r="J164" s="2">
        <f t="shared" si="22"/>
        <v>0</v>
      </c>
      <c r="K164" s="2">
        <v>5.6879699230194092E-2</v>
      </c>
      <c r="L164" s="2">
        <f t="shared" si="23"/>
        <v>2.5724487089032505E-3</v>
      </c>
      <c r="M164">
        <v>19</v>
      </c>
      <c r="N164" s="2">
        <f t="shared" si="24"/>
        <v>0.85929648241206036</v>
      </c>
      <c r="O164">
        <v>1</v>
      </c>
      <c r="P164" s="2">
        <f t="shared" si="25"/>
        <v>4.5226130653266333E-2</v>
      </c>
      <c r="Q164" t="s">
        <v>224</v>
      </c>
      <c r="R164" t="s">
        <v>62</v>
      </c>
      <c r="S164">
        <v>2</v>
      </c>
      <c r="T164" s="2">
        <f t="shared" si="26"/>
        <v>9.0452261306532666E-2</v>
      </c>
      <c r="U164" s="2">
        <v>2.125173594802618</v>
      </c>
      <c r="V164" s="2">
        <f t="shared" si="27"/>
        <v>9.6113378659414897E-2</v>
      </c>
      <c r="W164" s="2">
        <v>2.596813909709454</v>
      </c>
      <c r="X164" s="2">
        <f t="shared" si="28"/>
        <v>0.11744384516273913</v>
      </c>
      <c r="Y164" s="2">
        <v>2.4700279049575329</v>
      </c>
      <c r="Z164" s="2">
        <f t="shared" si="29"/>
        <v>0.1117098047468231</v>
      </c>
      <c r="AA164">
        <v>2022</v>
      </c>
      <c r="AB164">
        <v>1</v>
      </c>
      <c r="AC164">
        <v>22000000</v>
      </c>
    </row>
    <row r="165" spans="1:29" x14ac:dyDescent="0.2">
      <c r="A165">
        <v>935</v>
      </c>
      <c r="B165" t="s">
        <v>86</v>
      </c>
      <c r="C165">
        <v>33</v>
      </c>
      <c r="D165">
        <v>2849</v>
      </c>
      <c r="E165">
        <v>3</v>
      </c>
      <c r="F165" s="2">
        <f t="shared" si="20"/>
        <v>9.4770094770094765E-2</v>
      </c>
      <c r="G165" s="2">
        <v>2.3396089123561978</v>
      </c>
      <c r="H165" s="2">
        <f t="shared" si="21"/>
        <v>7.3908319449651746E-2</v>
      </c>
      <c r="I165">
        <v>0</v>
      </c>
      <c r="J165" s="2">
        <f t="shared" si="22"/>
        <v>0</v>
      </c>
      <c r="K165" s="2">
        <v>0.18288415484130391</v>
      </c>
      <c r="L165" s="2">
        <f t="shared" si="23"/>
        <v>5.7773162287530185E-3</v>
      </c>
      <c r="M165">
        <v>16</v>
      </c>
      <c r="N165" s="2">
        <f t="shared" si="24"/>
        <v>0.50544050544050545</v>
      </c>
      <c r="O165">
        <v>4</v>
      </c>
      <c r="P165" s="2">
        <f t="shared" si="25"/>
        <v>0.12636012636012636</v>
      </c>
      <c r="Q165" t="s">
        <v>224</v>
      </c>
      <c r="R165" t="s">
        <v>62</v>
      </c>
      <c r="S165">
        <v>3</v>
      </c>
      <c r="T165" s="2">
        <f t="shared" si="26"/>
        <v>9.4770094770094765E-2</v>
      </c>
      <c r="U165" s="2">
        <v>2.3396089123561978</v>
      </c>
      <c r="V165" s="2">
        <f t="shared" si="27"/>
        <v>7.3908319449651746E-2</v>
      </c>
      <c r="W165" s="2">
        <v>3.8445864105597138</v>
      </c>
      <c r="X165" s="2">
        <f t="shared" si="28"/>
        <v>0.12145060616018752</v>
      </c>
      <c r="Y165" s="2">
        <v>3.7147320946678519</v>
      </c>
      <c r="Z165" s="2">
        <f t="shared" si="29"/>
        <v>0.11734850421906165</v>
      </c>
      <c r="AA165">
        <v>2023</v>
      </c>
      <c r="AB165">
        <v>1</v>
      </c>
      <c r="AC165">
        <v>25000000</v>
      </c>
    </row>
    <row r="166" spans="1:29" x14ac:dyDescent="0.2">
      <c r="A166">
        <v>1098</v>
      </c>
      <c r="B166" t="s">
        <v>87</v>
      </c>
      <c r="C166">
        <v>22</v>
      </c>
      <c r="D166">
        <v>1748</v>
      </c>
      <c r="E166">
        <v>1</v>
      </c>
      <c r="F166" s="2">
        <f t="shared" si="20"/>
        <v>5.1487414187643021E-2</v>
      </c>
      <c r="G166" s="2">
        <v>0.83045659586787224</v>
      </c>
      <c r="H166" s="2">
        <f t="shared" si="21"/>
        <v>4.2758062716309213E-2</v>
      </c>
      <c r="I166">
        <v>0</v>
      </c>
      <c r="J166" s="2">
        <f t="shared" si="22"/>
        <v>0</v>
      </c>
      <c r="K166" s="2">
        <v>2.1674153730273251</v>
      </c>
      <c r="L166" s="2">
        <f t="shared" si="23"/>
        <v>0.11159461302772268</v>
      </c>
      <c r="M166">
        <v>28</v>
      </c>
      <c r="N166" s="2">
        <f t="shared" si="24"/>
        <v>1.4416475972540046</v>
      </c>
      <c r="O166">
        <v>19</v>
      </c>
      <c r="P166" s="2">
        <f t="shared" si="25"/>
        <v>0.97826086956521741</v>
      </c>
      <c r="Q166" t="s">
        <v>223</v>
      </c>
      <c r="R166" t="s">
        <v>88</v>
      </c>
      <c r="S166">
        <v>1</v>
      </c>
      <c r="T166" s="2">
        <f t="shared" si="26"/>
        <v>5.1487414187643021E-2</v>
      </c>
      <c r="U166" s="2">
        <v>0.83045659586787224</v>
      </c>
      <c r="V166" s="2">
        <f t="shared" si="27"/>
        <v>4.2758062716309213E-2</v>
      </c>
      <c r="W166" s="2">
        <v>5.2372828684747219</v>
      </c>
      <c r="X166" s="2">
        <f t="shared" si="28"/>
        <v>0.26965415226700512</v>
      </c>
      <c r="Y166" s="2">
        <v>4.3636215552687636</v>
      </c>
      <c r="Z166" s="2">
        <f t="shared" si="29"/>
        <v>0.22467159037424986</v>
      </c>
      <c r="AA166">
        <v>2017</v>
      </c>
      <c r="AB166">
        <v>0</v>
      </c>
      <c r="AC166">
        <v>2500000</v>
      </c>
    </row>
    <row r="167" spans="1:29" x14ac:dyDescent="0.2">
      <c r="A167">
        <v>1098</v>
      </c>
      <c r="B167" t="s">
        <v>87</v>
      </c>
      <c r="C167">
        <v>21</v>
      </c>
      <c r="D167">
        <v>1267</v>
      </c>
      <c r="E167">
        <v>0</v>
      </c>
      <c r="F167" s="2">
        <f t="shared" si="20"/>
        <v>0</v>
      </c>
      <c r="G167" s="2">
        <v>0.90142120234668244</v>
      </c>
      <c r="H167" s="2">
        <f t="shared" si="21"/>
        <v>6.4031498193529143E-2</v>
      </c>
      <c r="I167">
        <v>1</v>
      </c>
      <c r="J167" s="2">
        <f t="shared" si="22"/>
        <v>7.1033938437253349E-2</v>
      </c>
      <c r="K167" s="2">
        <v>1.630046390928328</v>
      </c>
      <c r="L167" s="2">
        <f t="shared" si="23"/>
        <v>0.11578861498306987</v>
      </c>
      <c r="M167">
        <v>30</v>
      </c>
      <c r="N167" s="2">
        <f t="shared" si="24"/>
        <v>2.1310181531176005</v>
      </c>
      <c r="O167">
        <v>24</v>
      </c>
      <c r="P167" s="2">
        <f t="shared" si="25"/>
        <v>1.7048145224940807</v>
      </c>
      <c r="Q167" t="s">
        <v>223</v>
      </c>
      <c r="R167" t="s">
        <v>88</v>
      </c>
      <c r="S167">
        <v>0</v>
      </c>
      <c r="T167" s="2">
        <f t="shared" si="26"/>
        <v>0</v>
      </c>
      <c r="U167" s="2">
        <v>0.90142120234668244</v>
      </c>
      <c r="V167" s="2">
        <f t="shared" si="27"/>
        <v>6.4031498193529143E-2</v>
      </c>
      <c r="W167" s="2">
        <v>3.6199193010106678</v>
      </c>
      <c r="X167" s="2">
        <f t="shared" si="28"/>
        <v>0.25713712477581696</v>
      </c>
      <c r="Y167" s="2">
        <v>3.1404340080916882</v>
      </c>
      <c r="Z167" s="2">
        <f t="shared" si="29"/>
        <v>0.22307739599704179</v>
      </c>
      <c r="AA167">
        <v>2018</v>
      </c>
      <c r="AB167">
        <v>0</v>
      </c>
      <c r="AC167">
        <v>1000000</v>
      </c>
    </row>
    <row r="168" spans="1:29" x14ac:dyDescent="0.2">
      <c r="A168">
        <v>1098</v>
      </c>
      <c r="B168" t="s">
        <v>87</v>
      </c>
      <c r="C168">
        <v>34</v>
      </c>
      <c r="D168">
        <v>2824</v>
      </c>
      <c r="E168">
        <v>3</v>
      </c>
      <c r="F168" s="2">
        <f t="shared" si="20"/>
        <v>9.5609065155807374E-2</v>
      </c>
      <c r="G168" s="2">
        <v>2.0982309142127629</v>
      </c>
      <c r="H168" s="2">
        <f t="shared" si="21"/>
        <v>6.6869965396299094E-2</v>
      </c>
      <c r="I168">
        <v>4</v>
      </c>
      <c r="J168" s="2">
        <f t="shared" si="22"/>
        <v>0.12747875354107649</v>
      </c>
      <c r="K168" s="2">
        <v>5.4681704165413976</v>
      </c>
      <c r="L168" s="2">
        <f t="shared" si="23"/>
        <v>0.1742688872127216</v>
      </c>
      <c r="M168">
        <v>36</v>
      </c>
      <c r="N168" s="2">
        <f t="shared" si="24"/>
        <v>1.1473087818696883</v>
      </c>
      <c r="O168">
        <v>58</v>
      </c>
      <c r="P168" s="2">
        <f t="shared" si="25"/>
        <v>1.8484419263456093</v>
      </c>
      <c r="Q168" t="s">
        <v>223</v>
      </c>
      <c r="R168" t="s">
        <v>89</v>
      </c>
      <c r="S168">
        <v>3</v>
      </c>
      <c r="T168" s="2">
        <f t="shared" si="26"/>
        <v>9.5609065155807374E-2</v>
      </c>
      <c r="U168" s="2">
        <v>2.0982309142127629</v>
      </c>
      <c r="V168" s="2">
        <f t="shared" si="27"/>
        <v>6.6869965396299094E-2</v>
      </c>
      <c r="W168" s="2">
        <v>10.97456062678248</v>
      </c>
      <c r="X168" s="2">
        <f t="shared" si="28"/>
        <v>0.34975582734080141</v>
      </c>
      <c r="Y168" s="2">
        <v>9.2250468293204904</v>
      </c>
      <c r="Z168" s="2">
        <f t="shared" si="29"/>
        <v>0.293999367789959</v>
      </c>
      <c r="AA168">
        <v>2019</v>
      </c>
      <c r="AB168">
        <v>1</v>
      </c>
      <c r="AC168">
        <v>800000</v>
      </c>
    </row>
    <row r="169" spans="1:29" x14ac:dyDescent="0.2">
      <c r="A169">
        <v>1098</v>
      </c>
      <c r="B169" t="s">
        <v>87</v>
      </c>
      <c r="C169">
        <v>21</v>
      </c>
      <c r="D169">
        <v>1312</v>
      </c>
      <c r="E169">
        <v>2</v>
      </c>
      <c r="F169" s="2">
        <f t="shared" si="20"/>
        <v>0.13719512195121952</v>
      </c>
      <c r="G169" s="2">
        <v>1.782979435287416</v>
      </c>
      <c r="H169" s="2">
        <f t="shared" si="21"/>
        <v>0.12230804053038677</v>
      </c>
      <c r="I169">
        <v>2</v>
      </c>
      <c r="J169" s="2">
        <f t="shared" si="22"/>
        <v>0.13719512195121952</v>
      </c>
      <c r="K169" s="2">
        <v>0.62695790641009808</v>
      </c>
      <c r="L169" s="2">
        <f t="shared" si="23"/>
        <v>4.3007783214107337E-2</v>
      </c>
      <c r="M169">
        <v>12</v>
      </c>
      <c r="N169" s="2">
        <f t="shared" si="24"/>
        <v>0.82317073170731703</v>
      </c>
      <c r="O169">
        <v>11</v>
      </c>
      <c r="P169" s="2">
        <f t="shared" si="25"/>
        <v>0.75457317073170738</v>
      </c>
      <c r="Q169" t="s">
        <v>223</v>
      </c>
      <c r="R169" t="s">
        <v>89</v>
      </c>
      <c r="S169">
        <v>0</v>
      </c>
      <c r="T169" s="2">
        <f t="shared" si="26"/>
        <v>0</v>
      </c>
      <c r="U169" s="2">
        <v>0.26038140151649708</v>
      </c>
      <c r="V169" s="2">
        <f t="shared" si="27"/>
        <v>1.7861529067442632E-2</v>
      </c>
      <c r="W169" s="2">
        <v>5.0719476118683824</v>
      </c>
      <c r="X169" s="2">
        <f t="shared" si="28"/>
        <v>0.34792323557023963</v>
      </c>
      <c r="Y169" s="2">
        <v>4.508938180282712</v>
      </c>
      <c r="Z169" s="2">
        <f t="shared" si="29"/>
        <v>0.30930216175719821</v>
      </c>
      <c r="AA169">
        <v>2020</v>
      </c>
      <c r="AB169">
        <v>1</v>
      </c>
      <c r="AC169">
        <v>900000</v>
      </c>
    </row>
    <row r="170" spans="1:29" x14ac:dyDescent="0.2">
      <c r="A170">
        <v>1106</v>
      </c>
      <c r="B170" t="s">
        <v>90</v>
      </c>
      <c r="C170">
        <v>21</v>
      </c>
      <c r="D170">
        <v>1182</v>
      </c>
      <c r="E170">
        <v>0</v>
      </c>
      <c r="F170" s="2">
        <f t="shared" si="20"/>
        <v>0</v>
      </c>
      <c r="G170" s="2">
        <v>0.6204064954072237</v>
      </c>
      <c r="H170" s="2">
        <f t="shared" si="21"/>
        <v>4.7239073254357132E-2</v>
      </c>
      <c r="I170">
        <v>2</v>
      </c>
      <c r="J170" s="2">
        <f t="shared" si="22"/>
        <v>0.15228426395939085</v>
      </c>
      <c r="K170" s="2">
        <v>1.907534219324589</v>
      </c>
      <c r="L170" s="2">
        <f t="shared" si="23"/>
        <v>0.14524372228359814</v>
      </c>
      <c r="M170">
        <v>9</v>
      </c>
      <c r="N170" s="2">
        <f t="shared" si="24"/>
        <v>0.68527918781725894</v>
      </c>
      <c r="O170">
        <v>14</v>
      </c>
      <c r="P170" s="2">
        <f t="shared" si="25"/>
        <v>1.0659898477157361</v>
      </c>
      <c r="Q170" t="s">
        <v>223</v>
      </c>
      <c r="R170" t="s">
        <v>88</v>
      </c>
      <c r="S170">
        <v>0</v>
      </c>
      <c r="T170" s="2">
        <f t="shared" si="26"/>
        <v>0</v>
      </c>
      <c r="U170" s="2">
        <v>0.6204064954072237</v>
      </c>
      <c r="V170" s="2">
        <f t="shared" si="27"/>
        <v>4.7239073254357132E-2</v>
      </c>
      <c r="W170" s="2">
        <v>6.2459504678845406</v>
      </c>
      <c r="X170" s="2">
        <f t="shared" si="28"/>
        <v>0.47557998486430514</v>
      </c>
      <c r="Y170" s="2">
        <v>4.245441623032093</v>
      </c>
      <c r="Z170" s="2">
        <f t="shared" si="29"/>
        <v>0.32325697637300199</v>
      </c>
      <c r="AA170">
        <v>2017</v>
      </c>
      <c r="AB170">
        <v>0</v>
      </c>
      <c r="AC170">
        <v>1800000</v>
      </c>
    </row>
    <row r="171" spans="1:29" x14ac:dyDescent="0.2">
      <c r="A171">
        <v>1106</v>
      </c>
      <c r="B171" t="s">
        <v>90</v>
      </c>
      <c r="C171">
        <v>33</v>
      </c>
      <c r="D171">
        <v>2561</v>
      </c>
      <c r="E171">
        <v>3</v>
      </c>
      <c r="F171" s="2">
        <f t="shared" si="20"/>
        <v>0.10542756735650136</v>
      </c>
      <c r="G171" s="2">
        <v>2.22245229408145</v>
      </c>
      <c r="H171" s="2">
        <f t="shared" si="21"/>
        <v>7.8102579643627684E-2</v>
      </c>
      <c r="I171">
        <v>4</v>
      </c>
      <c r="J171" s="2">
        <f t="shared" si="22"/>
        <v>0.1405700898086685</v>
      </c>
      <c r="K171" s="2">
        <v>3.6927509102970362</v>
      </c>
      <c r="L171" s="2">
        <f t="shared" si="23"/>
        <v>0.12977258177537418</v>
      </c>
      <c r="M171">
        <v>38</v>
      </c>
      <c r="N171" s="2">
        <f t="shared" si="24"/>
        <v>1.3354158531823506</v>
      </c>
      <c r="O171">
        <v>46</v>
      </c>
      <c r="P171" s="2">
        <f t="shared" si="25"/>
        <v>1.6165560327996877</v>
      </c>
      <c r="Q171" t="s">
        <v>223</v>
      </c>
      <c r="R171" t="s">
        <v>88</v>
      </c>
      <c r="S171">
        <v>3</v>
      </c>
      <c r="T171" s="2">
        <f t="shared" si="26"/>
        <v>0.10542756735650136</v>
      </c>
      <c r="U171" s="2">
        <v>2.22245229408145</v>
      </c>
      <c r="V171" s="2">
        <f t="shared" si="27"/>
        <v>7.8102579643627684E-2</v>
      </c>
      <c r="W171" s="2">
        <v>7.0903070857748389</v>
      </c>
      <c r="X171" s="2">
        <f t="shared" si="28"/>
        <v>0.24917127595460192</v>
      </c>
      <c r="Y171" s="2">
        <v>3.9314259914681311</v>
      </c>
      <c r="Z171" s="2">
        <f t="shared" si="29"/>
        <v>0.13816022617420218</v>
      </c>
      <c r="AA171">
        <v>2018</v>
      </c>
      <c r="AB171">
        <v>0</v>
      </c>
      <c r="AC171">
        <v>3000000</v>
      </c>
    </row>
    <row r="172" spans="1:29" x14ac:dyDescent="0.2">
      <c r="A172">
        <v>1106</v>
      </c>
      <c r="B172" t="s">
        <v>90</v>
      </c>
      <c r="C172">
        <v>38</v>
      </c>
      <c r="D172">
        <v>3261</v>
      </c>
      <c r="E172">
        <v>3</v>
      </c>
      <c r="F172" s="2">
        <f t="shared" si="20"/>
        <v>8.2796688132474705E-2</v>
      </c>
      <c r="G172" s="2">
        <v>2.875804908573627</v>
      </c>
      <c r="H172" s="2">
        <f t="shared" si="21"/>
        <v>7.9369040715003503E-2</v>
      </c>
      <c r="I172">
        <v>7</v>
      </c>
      <c r="J172" s="2">
        <f t="shared" si="22"/>
        <v>0.19319227230910763</v>
      </c>
      <c r="K172" s="2">
        <v>8.6191965769976377</v>
      </c>
      <c r="L172" s="2">
        <f t="shared" si="23"/>
        <v>0.23788031031272228</v>
      </c>
      <c r="M172">
        <v>36</v>
      </c>
      <c r="N172" s="2">
        <f t="shared" si="24"/>
        <v>0.99356025758969646</v>
      </c>
      <c r="O172">
        <v>53</v>
      </c>
      <c r="P172" s="2">
        <f t="shared" si="25"/>
        <v>1.4627414903403864</v>
      </c>
      <c r="Q172" t="s">
        <v>223</v>
      </c>
      <c r="R172" t="s">
        <v>89</v>
      </c>
      <c r="S172">
        <v>3</v>
      </c>
      <c r="T172" s="2">
        <f t="shared" si="26"/>
        <v>8.2796688132474705E-2</v>
      </c>
      <c r="U172" s="2">
        <v>2.875804908573627</v>
      </c>
      <c r="V172" s="2">
        <f t="shared" si="27"/>
        <v>7.9369040715003503E-2</v>
      </c>
      <c r="W172" s="2">
        <v>17.808610659092661</v>
      </c>
      <c r="X172" s="2">
        <f t="shared" si="28"/>
        <v>0.49149799427118657</v>
      </c>
      <c r="Y172" s="2">
        <v>9.8775905082002282</v>
      </c>
      <c r="Z172" s="2">
        <f t="shared" si="29"/>
        <v>0.27261059360258222</v>
      </c>
      <c r="AA172">
        <v>2019</v>
      </c>
      <c r="AB172">
        <v>1</v>
      </c>
      <c r="AC172">
        <v>4000000</v>
      </c>
    </row>
    <row r="173" spans="1:29" x14ac:dyDescent="0.2">
      <c r="A173">
        <v>1106</v>
      </c>
      <c r="B173" t="s">
        <v>90</v>
      </c>
      <c r="C173">
        <v>32</v>
      </c>
      <c r="D173">
        <v>2504</v>
      </c>
      <c r="E173">
        <v>3</v>
      </c>
      <c r="F173" s="2">
        <f t="shared" si="20"/>
        <v>0.10782747603833866</v>
      </c>
      <c r="G173" s="2">
        <v>3.1488935258239512</v>
      </c>
      <c r="H173" s="2">
        <f t="shared" si="21"/>
        <v>0.11317908040102062</v>
      </c>
      <c r="I173">
        <v>6</v>
      </c>
      <c r="J173" s="2">
        <f t="shared" si="22"/>
        <v>0.21565495207667731</v>
      </c>
      <c r="K173" s="2">
        <v>5.4006995242089033</v>
      </c>
      <c r="L173" s="2">
        <f t="shared" si="23"/>
        <v>0.19411459951230084</v>
      </c>
      <c r="M173">
        <v>33</v>
      </c>
      <c r="N173" s="2">
        <f t="shared" si="24"/>
        <v>1.1861022364217253</v>
      </c>
      <c r="O173">
        <v>34</v>
      </c>
      <c r="P173" s="2">
        <f t="shared" si="25"/>
        <v>1.2220447284345048</v>
      </c>
      <c r="Q173" t="s">
        <v>223</v>
      </c>
      <c r="R173" t="s">
        <v>89</v>
      </c>
      <c r="S173">
        <v>3</v>
      </c>
      <c r="T173" s="2">
        <f t="shared" si="26"/>
        <v>0.10782747603833866</v>
      </c>
      <c r="U173" s="2">
        <v>3.1488935258239512</v>
      </c>
      <c r="V173" s="2">
        <f t="shared" si="27"/>
        <v>0.11317908040102062</v>
      </c>
      <c r="W173" s="2">
        <v>13.290364865213631</v>
      </c>
      <c r="X173" s="2">
        <f t="shared" si="28"/>
        <v>0.47768883301486692</v>
      </c>
      <c r="Y173" s="2">
        <v>7.4995473045855761</v>
      </c>
      <c r="Z173" s="2">
        <f t="shared" si="29"/>
        <v>0.26955241909452948</v>
      </c>
      <c r="AA173">
        <v>2020</v>
      </c>
      <c r="AB173">
        <v>1</v>
      </c>
      <c r="AC173">
        <v>5000000</v>
      </c>
    </row>
    <row r="174" spans="1:29" x14ac:dyDescent="0.2">
      <c r="A174">
        <v>1109</v>
      </c>
      <c r="B174" t="s">
        <v>91</v>
      </c>
      <c r="C174">
        <v>33</v>
      </c>
      <c r="D174">
        <v>2775</v>
      </c>
      <c r="E174">
        <v>14</v>
      </c>
      <c r="F174" s="2">
        <f t="shared" si="20"/>
        <v>0.45405405405405402</v>
      </c>
      <c r="G174" s="2">
        <v>12.39508723374456</v>
      </c>
      <c r="H174" s="2">
        <f t="shared" si="21"/>
        <v>0.40200282920252628</v>
      </c>
      <c r="I174">
        <v>3</v>
      </c>
      <c r="J174" s="2">
        <f t="shared" si="22"/>
        <v>9.7297297297297303E-2</v>
      </c>
      <c r="K174" s="2">
        <v>3.7784635741263628</v>
      </c>
      <c r="L174" s="2">
        <f t="shared" si="23"/>
        <v>0.12254476456626041</v>
      </c>
      <c r="M174">
        <v>85</v>
      </c>
      <c r="N174" s="2">
        <f t="shared" si="24"/>
        <v>2.7567567567567566</v>
      </c>
      <c r="O174">
        <v>24</v>
      </c>
      <c r="P174" s="2">
        <f t="shared" si="25"/>
        <v>0.77837837837837842</v>
      </c>
      <c r="Q174" t="s">
        <v>222</v>
      </c>
      <c r="R174" t="s">
        <v>74</v>
      </c>
      <c r="S174">
        <v>9</v>
      </c>
      <c r="T174" s="2">
        <f t="shared" si="26"/>
        <v>0.29189189189189185</v>
      </c>
      <c r="U174" s="2">
        <v>8.6789579736068845</v>
      </c>
      <c r="V174" s="2">
        <f t="shared" si="27"/>
        <v>0.28147971806292599</v>
      </c>
      <c r="W174" s="2">
        <v>15.106656553223729</v>
      </c>
      <c r="X174" s="2">
        <f t="shared" si="28"/>
        <v>0.48994561794239117</v>
      </c>
      <c r="Y174" s="2">
        <v>5.216317692771554</v>
      </c>
      <c r="Z174" s="2">
        <f t="shared" si="29"/>
        <v>0.16917787111691526</v>
      </c>
      <c r="AA174">
        <v>2019</v>
      </c>
      <c r="AB174">
        <v>0</v>
      </c>
      <c r="AC174">
        <v>32000000</v>
      </c>
    </row>
    <row r="175" spans="1:29" x14ac:dyDescent="0.2">
      <c r="A175">
        <v>1109</v>
      </c>
      <c r="B175" t="s">
        <v>91</v>
      </c>
      <c r="C175">
        <v>34</v>
      </c>
      <c r="D175">
        <v>2658</v>
      </c>
      <c r="E175">
        <v>5</v>
      </c>
      <c r="F175" s="2">
        <f t="shared" si="20"/>
        <v>0.16930022573363432</v>
      </c>
      <c r="G175" s="2">
        <v>10.77704133838415</v>
      </c>
      <c r="H175" s="2">
        <f t="shared" si="21"/>
        <v>0.36491110626582901</v>
      </c>
      <c r="I175">
        <v>4</v>
      </c>
      <c r="J175" s="2">
        <f t="shared" si="22"/>
        <v>0.13544018058690743</v>
      </c>
      <c r="K175" s="2">
        <v>6.1530600190162659</v>
      </c>
      <c r="L175" s="2">
        <f t="shared" si="23"/>
        <v>0.20834289003441081</v>
      </c>
      <c r="M175">
        <v>69</v>
      </c>
      <c r="N175" s="2">
        <f t="shared" si="24"/>
        <v>2.3363431151241536</v>
      </c>
      <c r="O175">
        <v>33</v>
      </c>
      <c r="P175" s="2">
        <f t="shared" si="25"/>
        <v>1.1173814898419865</v>
      </c>
      <c r="Q175" t="s">
        <v>222</v>
      </c>
      <c r="R175" t="s">
        <v>74</v>
      </c>
      <c r="S175">
        <v>1</v>
      </c>
      <c r="T175" s="2">
        <f t="shared" si="26"/>
        <v>3.3860045146726858E-2</v>
      </c>
      <c r="U175" s="2">
        <v>7.0606538988649854</v>
      </c>
      <c r="V175" s="2">
        <f t="shared" si="27"/>
        <v>0.23907405978098145</v>
      </c>
      <c r="W175" s="2">
        <v>14.06858868338168</v>
      </c>
      <c r="X175" s="2">
        <f t="shared" si="28"/>
        <v>0.47636304797003431</v>
      </c>
      <c r="Y175" s="2">
        <v>5.1277892626821986</v>
      </c>
      <c r="Z175" s="2">
        <f t="shared" si="29"/>
        <v>0.17362717593732049</v>
      </c>
      <c r="AA175">
        <v>2020</v>
      </c>
      <c r="AB175">
        <v>0</v>
      </c>
      <c r="AC175">
        <v>40000000</v>
      </c>
    </row>
    <row r="176" spans="1:29" x14ac:dyDescent="0.2">
      <c r="A176">
        <v>1109</v>
      </c>
      <c r="B176" t="s">
        <v>91</v>
      </c>
      <c r="C176">
        <v>30</v>
      </c>
      <c r="D176">
        <v>2129</v>
      </c>
      <c r="E176">
        <v>6</v>
      </c>
      <c r="F176" s="2">
        <f t="shared" si="20"/>
        <v>0.25364020666979803</v>
      </c>
      <c r="G176" s="2">
        <v>6.6793553475290537</v>
      </c>
      <c r="H176" s="2">
        <f t="shared" si="21"/>
        <v>0.28235884512804832</v>
      </c>
      <c r="I176">
        <v>4</v>
      </c>
      <c r="J176" s="2">
        <f t="shared" si="22"/>
        <v>0.1690934711131987</v>
      </c>
      <c r="K176" s="2">
        <v>2.0077592674642801</v>
      </c>
      <c r="L176" s="2">
        <f t="shared" si="23"/>
        <v>8.4874745923807046E-2</v>
      </c>
      <c r="M176">
        <v>51</v>
      </c>
      <c r="N176" s="2">
        <f t="shared" si="24"/>
        <v>2.155941756693283</v>
      </c>
      <c r="O176">
        <v>18</v>
      </c>
      <c r="P176" s="2">
        <f t="shared" si="25"/>
        <v>0.76092062000939409</v>
      </c>
      <c r="Q176" t="s">
        <v>222</v>
      </c>
      <c r="R176" t="s">
        <v>74</v>
      </c>
      <c r="S176">
        <v>6</v>
      </c>
      <c r="T176" s="2">
        <f t="shared" si="26"/>
        <v>0.25364020666979803</v>
      </c>
      <c r="U176" s="2">
        <v>6.6793553475290537</v>
      </c>
      <c r="V176" s="2">
        <f t="shared" si="27"/>
        <v>0.28235884512804832</v>
      </c>
      <c r="W176" s="2">
        <v>10.56420516874641</v>
      </c>
      <c r="X176" s="2">
        <f t="shared" si="28"/>
        <v>0.44658453038383128</v>
      </c>
      <c r="Y176" s="2">
        <v>3.7639001365751028</v>
      </c>
      <c r="Z176" s="2">
        <f t="shared" si="29"/>
        <v>0.15911273475423168</v>
      </c>
      <c r="AA176">
        <v>2021</v>
      </c>
      <c r="AB176">
        <v>1</v>
      </c>
      <c r="AC176">
        <v>25000000</v>
      </c>
    </row>
    <row r="177" spans="1:29" x14ac:dyDescent="0.2">
      <c r="A177">
        <v>1109</v>
      </c>
      <c r="B177" t="s">
        <v>91</v>
      </c>
      <c r="C177">
        <v>19</v>
      </c>
      <c r="D177">
        <v>1155</v>
      </c>
      <c r="E177">
        <v>4</v>
      </c>
      <c r="F177" s="2">
        <f t="shared" si="20"/>
        <v>0.31168831168831168</v>
      </c>
      <c r="G177" s="2">
        <v>4.3248294843360782</v>
      </c>
      <c r="H177" s="2">
        <f t="shared" si="21"/>
        <v>0.33699970007813596</v>
      </c>
      <c r="I177">
        <v>0</v>
      </c>
      <c r="J177" s="2">
        <f t="shared" si="22"/>
        <v>0</v>
      </c>
      <c r="K177" s="2">
        <v>0.9793771132826804</v>
      </c>
      <c r="L177" s="2">
        <f t="shared" si="23"/>
        <v>7.6315099736312758E-2</v>
      </c>
      <c r="M177">
        <v>29</v>
      </c>
      <c r="N177" s="2">
        <f t="shared" si="24"/>
        <v>2.2597402597402598</v>
      </c>
      <c r="O177">
        <v>13</v>
      </c>
      <c r="P177" s="2">
        <f t="shared" si="25"/>
        <v>1.0129870129870131</v>
      </c>
      <c r="Q177" t="s">
        <v>222</v>
      </c>
      <c r="R177" t="s">
        <v>74</v>
      </c>
      <c r="S177">
        <v>1</v>
      </c>
      <c r="T177" s="2">
        <f t="shared" si="26"/>
        <v>7.792207792207792E-2</v>
      </c>
      <c r="U177" s="2">
        <v>2.0949972374364738</v>
      </c>
      <c r="V177" s="2">
        <f t="shared" si="27"/>
        <v>0.1632465379820629</v>
      </c>
      <c r="W177" s="2">
        <v>5.2422255706042051</v>
      </c>
      <c r="X177" s="2">
        <f t="shared" si="28"/>
        <v>0.40848510939773031</v>
      </c>
      <c r="Y177" s="2">
        <v>2.4085145145654678</v>
      </c>
      <c r="Z177" s="2">
        <f t="shared" si="29"/>
        <v>0.18767645568042607</v>
      </c>
      <c r="AA177">
        <v>2022</v>
      </c>
      <c r="AB177">
        <v>1</v>
      </c>
      <c r="AC177">
        <v>12000000</v>
      </c>
    </row>
    <row r="178" spans="1:29" x14ac:dyDescent="0.2">
      <c r="A178">
        <v>1134</v>
      </c>
      <c r="B178" t="s">
        <v>92</v>
      </c>
      <c r="C178">
        <v>25</v>
      </c>
      <c r="D178">
        <v>1100</v>
      </c>
      <c r="E178">
        <v>6</v>
      </c>
      <c r="F178" s="2">
        <f t="shared" si="20"/>
        <v>0.49090909090909096</v>
      </c>
      <c r="G178" s="2">
        <v>4.4573284834623337</v>
      </c>
      <c r="H178" s="2">
        <f t="shared" si="21"/>
        <v>0.36469051228328181</v>
      </c>
      <c r="I178">
        <v>2</v>
      </c>
      <c r="J178" s="2">
        <f t="shared" si="22"/>
        <v>0.16363636363636364</v>
      </c>
      <c r="K178" s="2">
        <v>2.9972587060183291</v>
      </c>
      <c r="L178" s="2">
        <f t="shared" si="23"/>
        <v>0.24523025776513604</v>
      </c>
      <c r="M178">
        <v>20</v>
      </c>
      <c r="N178" s="2">
        <f t="shared" si="24"/>
        <v>1.6363636363636362</v>
      </c>
      <c r="O178">
        <v>17</v>
      </c>
      <c r="P178" s="2">
        <f t="shared" si="25"/>
        <v>1.3909090909090909</v>
      </c>
      <c r="Q178" t="s">
        <v>223</v>
      </c>
      <c r="R178" t="s">
        <v>93</v>
      </c>
      <c r="S178">
        <v>6</v>
      </c>
      <c r="T178" s="2">
        <f t="shared" si="26"/>
        <v>0.49090909090909096</v>
      </c>
      <c r="U178" s="2">
        <v>4.4573284834623337</v>
      </c>
      <c r="V178" s="2">
        <f t="shared" si="27"/>
        <v>0.36469051228328181</v>
      </c>
      <c r="W178" s="2">
        <v>12.33318473398686</v>
      </c>
      <c r="X178" s="2">
        <f t="shared" si="28"/>
        <v>1.0090787509625612</v>
      </c>
      <c r="Y178" s="2">
        <v>5.933030029758811</v>
      </c>
      <c r="Z178" s="2">
        <f t="shared" si="29"/>
        <v>0.48542972970753906</v>
      </c>
      <c r="AA178">
        <v>2020</v>
      </c>
      <c r="AB178">
        <v>0</v>
      </c>
      <c r="AC178">
        <v>23000000</v>
      </c>
    </row>
    <row r="179" spans="1:29" x14ac:dyDescent="0.2">
      <c r="A179">
        <v>1134</v>
      </c>
      <c r="B179" t="s">
        <v>92</v>
      </c>
      <c r="C179">
        <v>37</v>
      </c>
      <c r="D179">
        <v>2021</v>
      </c>
      <c r="E179">
        <v>13</v>
      </c>
      <c r="F179" s="2">
        <f t="shared" si="20"/>
        <v>0.57892132607619984</v>
      </c>
      <c r="G179" s="2">
        <v>10.01475265622139</v>
      </c>
      <c r="H179" s="2">
        <f t="shared" si="21"/>
        <v>0.44598106831267942</v>
      </c>
      <c r="I179">
        <v>6</v>
      </c>
      <c r="J179" s="2">
        <f t="shared" si="22"/>
        <v>0.26719445818901533</v>
      </c>
      <c r="K179" s="2">
        <v>5.6510057039558887</v>
      </c>
      <c r="L179" s="2">
        <f t="shared" si="23"/>
        <v>0.2516529012152548</v>
      </c>
      <c r="M179">
        <v>50</v>
      </c>
      <c r="N179" s="2">
        <f t="shared" si="24"/>
        <v>2.2266204849084614</v>
      </c>
      <c r="O179">
        <v>39</v>
      </c>
      <c r="P179" s="2">
        <f t="shared" si="25"/>
        <v>1.7367639782285997</v>
      </c>
      <c r="Q179" t="s">
        <v>223</v>
      </c>
      <c r="R179" t="s">
        <v>93</v>
      </c>
      <c r="S179">
        <v>13</v>
      </c>
      <c r="T179" s="2">
        <f t="shared" si="26"/>
        <v>0.57892132607619984</v>
      </c>
      <c r="U179" s="2">
        <v>10.01475265622139</v>
      </c>
      <c r="V179" s="2">
        <f t="shared" si="27"/>
        <v>0.44598106831267942</v>
      </c>
      <c r="W179" s="2">
        <v>18.693742573261261</v>
      </c>
      <c r="X179" s="2">
        <f t="shared" si="28"/>
        <v>0.83247740306457874</v>
      </c>
      <c r="Y179" s="2">
        <v>5.4832904133945704</v>
      </c>
      <c r="Z179" s="2">
        <f t="shared" si="29"/>
        <v>0.24418413518333071</v>
      </c>
      <c r="AA179">
        <v>2021</v>
      </c>
      <c r="AB179">
        <v>0</v>
      </c>
      <c r="AC179">
        <v>28000000</v>
      </c>
    </row>
    <row r="180" spans="1:29" x14ac:dyDescent="0.2">
      <c r="A180">
        <v>1134</v>
      </c>
      <c r="B180" t="s">
        <v>92</v>
      </c>
      <c r="C180">
        <v>32</v>
      </c>
      <c r="D180">
        <v>1811</v>
      </c>
      <c r="E180">
        <v>5</v>
      </c>
      <c r="F180" s="2">
        <f t="shared" si="20"/>
        <v>0.24848150193263391</v>
      </c>
      <c r="G180" s="2">
        <v>5.7575409188866624</v>
      </c>
      <c r="H180" s="2">
        <f t="shared" si="21"/>
        <v>0.28612848299271099</v>
      </c>
      <c r="I180">
        <v>2</v>
      </c>
      <c r="J180" s="2">
        <f t="shared" si="22"/>
        <v>9.9392600773053577E-2</v>
      </c>
      <c r="K180" s="2">
        <v>2.134295135736465</v>
      </c>
      <c r="L180" s="2">
        <f t="shared" si="23"/>
        <v>0.10606657217906232</v>
      </c>
      <c r="M180">
        <v>32</v>
      </c>
      <c r="N180" s="2">
        <f t="shared" si="24"/>
        <v>1.5902816123688572</v>
      </c>
      <c r="O180">
        <v>16</v>
      </c>
      <c r="P180" s="2">
        <f t="shared" si="25"/>
        <v>0.79514080618442862</v>
      </c>
      <c r="Q180" t="s">
        <v>223</v>
      </c>
      <c r="R180" t="s">
        <v>93</v>
      </c>
      <c r="S180">
        <v>5</v>
      </c>
      <c r="T180" s="2">
        <f t="shared" si="26"/>
        <v>0.24848150193263391</v>
      </c>
      <c r="U180" s="2">
        <v>5.7575409188866624</v>
      </c>
      <c r="V180" s="2">
        <f t="shared" si="27"/>
        <v>0.28612848299271099</v>
      </c>
      <c r="W180" s="2">
        <v>10.42154000885785</v>
      </c>
      <c r="X180" s="2">
        <f t="shared" si="28"/>
        <v>0.51791198277040662</v>
      </c>
      <c r="Y180" s="2">
        <v>4.9814885770902038</v>
      </c>
      <c r="Z180" s="2">
        <f t="shared" si="29"/>
        <v>0.24756155269912664</v>
      </c>
      <c r="AA180">
        <v>2022</v>
      </c>
      <c r="AB180">
        <v>1</v>
      </c>
      <c r="AC180">
        <v>20000000</v>
      </c>
    </row>
    <row r="181" spans="1:29" x14ac:dyDescent="0.2">
      <c r="A181">
        <v>1134</v>
      </c>
      <c r="B181" t="s">
        <v>92</v>
      </c>
      <c r="C181">
        <v>34</v>
      </c>
      <c r="D181">
        <v>2039</v>
      </c>
      <c r="E181">
        <v>6</v>
      </c>
      <c r="F181" s="2">
        <f t="shared" si="20"/>
        <v>0.26483570377636095</v>
      </c>
      <c r="G181" s="2">
        <v>7.9482899978756913</v>
      </c>
      <c r="H181" s="2">
        <f t="shared" si="21"/>
        <v>0.35083182923433653</v>
      </c>
      <c r="I181">
        <v>6</v>
      </c>
      <c r="J181" s="2">
        <f t="shared" si="22"/>
        <v>0.26483570377636095</v>
      </c>
      <c r="K181" s="2">
        <v>5.1418789969757199</v>
      </c>
      <c r="L181" s="2">
        <f t="shared" si="23"/>
        <v>0.22695885714949229</v>
      </c>
      <c r="M181">
        <v>40</v>
      </c>
      <c r="N181" s="2">
        <f t="shared" si="24"/>
        <v>1.7655713585090731</v>
      </c>
      <c r="O181">
        <v>31</v>
      </c>
      <c r="P181" s="2">
        <f t="shared" si="25"/>
        <v>1.3683178028445315</v>
      </c>
      <c r="Q181" t="s">
        <v>223</v>
      </c>
      <c r="R181" t="s">
        <v>93</v>
      </c>
      <c r="S181">
        <v>4</v>
      </c>
      <c r="T181" s="2">
        <f t="shared" si="26"/>
        <v>0.17655713585090732</v>
      </c>
      <c r="U181" s="2">
        <v>6.4256923720240593</v>
      </c>
      <c r="V181" s="2">
        <f t="shared" si="27"/>
        <v>0.28362546026589769</v>
      </c>
      <c r="W181" s="2">
        <v>16.40416118688881</v>
      </c>
      <c r="X181" s="2">
        <f t="shared" si="28"/>
        <v>0.72406792879842719</v>
      </c>
      <c r="Y181" s="2">
        <v>7.4190364815294743</v>
      </c>
      <c r="Z181" s="2">
        <f t="shared" si="29"/>
        <v>0.3274709579880592</v>
      </c>
      <c r="AA181">
        <v>2023</v>
      </c>
      <c r="AB181">
        <v>1</v>
      </c>
      <c r="AC181">
        <v>13000000</v>
      </c>
    </row>
    <row r="182" spans="1:29" x14ac:dyDescent="0.2">
      <c r="A182">
        <v>1139</v>
      </c>
      <c r="B182" t="s">
        <v>94</v>
      </c>
      <c r="C182">
        <v>36</v>
      </c>
      <c r="D182">
        <v>3004</v>
      </c>
      <c r="E182">
        <v>2</v>
      </c>
      <c r="F182" s="2">
        <f t="shared" si="20"/>
        <v>5.9920106524633823E-2</v>
      </c>
      <c r="G182" s="2">
        <v>1.448649182915688</v>
      </c>
      <c r="H182" s="2">
        <f t="shared" si="21"/>
        <v>4.3401606678565886E-2</v>
      </c>
      <c r="I182">
        <v>4</v>
      </c>
      <c r="J182" s="2">
        <f t="shared" si="22"/>
        <v>0.11984021304926765</v>
      </c>
      <c r="K182" s="2">
        <v>4.1543985530734062</v>
      </c>
      <c r="L182" s="2">
        <f t="shared" si="23"/>
        <v>0.12446600192297157</v>
      </c>
      <c r="M182">
        <v>24</v>
      </c>
      <c r="N182" s="2">
        <f t="shared" si="24"/>
        <v>0.71904127829560582</v>
      </c>
      <c r="O182">
        <v>34</v>
      </c>
      <c r="P182" s="2">
        <f t="shared" si="25"/>
        <v>1.0186418109187749</v>
      </c>
      <c r="Q182" t="s">
        <v>224</v>
      </c>
      <c r="R182" t="s">
        <v>95</v>
      </c>
      <c r="S182">
        <v>2</v>
      </c>
      <c r="T182" s="2">
        <f t="shared" si="26"/>
        <v>5.9920106524633823E-2</v>
      </c>
      <c r="U182" s="2">
        <v>1.448649182915688</v>
      </c>
      <c r="V182" s="2">
        <f t="shared" si="27"/>
        <v>4.3401606678565886E-2</v>
      </c>
      <c r="W182" s="2">
        <v>8.8061118945479393</v>
      </c>
      <c r="X182" s="2">
        <f t="shared" si="28"/>
        <v>0.26383158139457874</v>
      </c>
      <c r="Y182" s="2">
        <v>4.9572232831269503</v>
      </c>
      <c r="Z182" s="2">
        <f t="shared" si="29"/>
        <v>0.14851867359568094</v>
      </c>
      <c r="AA182">
        <v>2014</v>
      </c>
      <c r="AB182">
        <v>0</v>
      </c>
      <c r="AC182">
        <v>6000000</v>
      </c>
    </row>
    <row r="183" spans="1:29" x14ac:dyDescent="0.2">
      <c r="A183">
        <v>1139</v>
      </c>
      <c r="B183" t="s">
        <v>94</v>
      </c>
      <c r="C183">
        <v>27</v>
      </c>
      <c r="D183">
        <v>1899</v>
      </c>
      <c r="E183">
        <v>0</v>
      </c>
      <c r="F183" s="2">
        <f t="shared" si="20"/>
        <v>0</v>
      </c>
      <c r="G183" s="2">
        <v>2.268102178350091</v>
      </c>
      <c r="H183" s="2">
        <f t="shared" si="21"/>
        <v>0.10749299423460147</v>
      </c>
      <c r="I183">
        <v>2</v>
      </c>
      <c r="J183" s="2">
        <f t="shared" si="22"/>
        <v>9.4786729857819899E-2</v>
      </c>
      <c r="K183" s="2">
        <v>2.2156026922166352</v>
      </c>
      <c r="L183" s="2">
        <f t="shared" si="23"/>
        <v>0.10500486692969835</v>
      </c>
      <c r="M183">
        <v>23</v>
      </c>
      <c r="N183" s="2">
        <f t="shared" si="24"/>
        <v>1.0900473933649288</v>
      </c>
      <c r="O183">
        <v>17</v>
      </c>
      <c r="P183" s="2">
        <f t="shared" si="25"/>
        <v>0.80568720379146908</v>
      </c>
      <c r="Q183" t="s">
        <v>224</v>
      </c>
      <c r="R183" t="s">
        <v>95</v>
      </c>
      <c r="S183">
        <v>0</v>
      </c>
      <c r="T183" s="2">
        <f t="shared" si="26"/>
        <v>0</v>
      </c>
      <c r="U183" s="2">
        <v>2.268102178350091</v>
      </c>
      <c r="V183" s="2">
        <f t="shared" si="27"/>
        <v>0.10749299423460147</v>
      </c>
      <c r="W183" s="2">
        <v>5.7092415858060122</v>
      </c>
      <c r="X183" s="2">
        <f t="shared" si="28"/>
        <v>0.27058016994341288</v>
      </c>
      <c r="Y183" s="2">
        <v>2.8191450014710422</v>
      </c>
      <c r="Z183" s="2">
        <f t="shared" si="29"/>
        <v>0.13360876784222947</v>
      </c>
      <c r="AA183">
        <v>2015</v>
      </c>
      <c r="AB183">
        <v>0</v>
      </c>
      <c r="AC183">
        <v>7500000</v>
      </c>
    </row>
    <row r="184" spans="1:29" x14ac:dyDescent="0.2">
      <c r="A184">
        <v>1139</v>
      </c>
      <c r="B184" t="s">
        <v>94</v>
      </c>
      <c r="C184">
        <v>28</v>
      </c>
      <c r="D184">
        <v>2492</v>
      </c>
      <c r="E184">
        <v>0</v>
      </c>
      <c r="F184" s="2">
        <f t="shared" si="20"/>
        <v>0</v>
      </c>
      <c r="G184" s="2">
        <v>0.23121670633554459</v>
      </c>
      <c r="H184" s="2">
        <f t="shared" si="21"/>
        <v>8.3505231020060237E-3</v>
      </c>
      <c r="I184">
        <v>4</v>
      </c>
      <c r="J184" s="2">
        <f t="shared" si="22"/>
        <v>0.14446227929373998</v>
      </c>
      <c r="K184" s="2">
        <v>1.668213184922934</v>
      </c>
      <c r="L184" s="2">
        <f t="shared" si="23"/>
        <v>6.0248469760459097E-2</v>
      </c>
      <c r="M184">
        <v>5</v>
      </c>
      <c r="N184" s="2">
        <f t="shared" si="24"/>
        <v>0.18057784911717495</v>
      </c>
      <c r="O184">
        <v>19</v>
      </c>
      <c r="P184" s="2">
        <f t="shared" si="25"/>
        <v>0.68619582664526479</v>
      </c>
      <c r="Q184" t="s">
        <v>224</v>
      </c>
      <c r="R184" t="s">
        <v>95</v>
      </c>
      <c r="S184">
        <v>0</v>
      </c>
      <c r="T184" s="2">
        <f t="shared" si="26"/>
        <v>0</v>
      </c>
      <c r="U184" s="2">
        <v>0.23121670633554459</v>
      </c>
      <c r="V184" s="2">
        <f t="shared" si="27"/>
        <v>8.3505231020060237E-3</v>
      </c>
      <c r="W184" s="2">
        <v>5.0035390686243773</v>
      </c>
      <c r="X184" s="2">
        <f t="shared" si="28"/>
        <v>0.18070566459718859</v>
      </c>
      <c r="Y184" s="2">
        <v>3.6375163123011589</v>
      </c>
      <c r="Z184" s="2">
        <f t="shared" si="29"/>
        <v>0.13137097436079626</v>
      </c>
      <c r="AA184">
        <v>2016</v>
      </c>
      <c r="AB184">
        <v>1</v>
      </c>
      <c r="AC184">
        <v>9000000</v>
      </c>
    </row>
    <row r="185" spans="1:29" x14ac:dyDescent="0.2">
      <c r="A185">
        <v>1139</v>
      </c>
      <c r="B185" t="s">
        <v>94</v>
      </c>
      <c r="C185">
        <v>24</v>
      </c>
      <c r="D185">
        <v>1622</v>
      </c>
      <c r="E185">
        <v>3</v>
      </c>
      <c r="F185" s="2">
        <f t="shared" si="20"/>
        <v>0.16646115906288533</v>
      </c>
      <c r="G185" s="2">
        <v>1.571977093815804</v>
      </c>
      <c r="H185" s="2">
        <f t="shared" si="21"/>
        <v>8.7224376352294922E-2</v>
      </c>
      <c r="I185">
        <v>2</v>
      </c>
      <c r="J185" s="2">
        <f t="shared" si="22"/>
        <v>0.11097410604192355</v>
      </c>
      <c r="K185" s="2">
        <v>2.9943098183721299</v>
      </c>
      <c r="L185" s="2">
        <f t="shared" si="23"/>
        <v>0.16614542765320078</v>
      </c>
      <c r="M185">
        <v>11</v>
      </c>
      <c r="N185" s="2">
        <f t="shared" si="24"/>
        <v>0.61035758323057954</v>
      </c>
      <c r="O185">
        <v>16</v>
      </c>
      <c r="P185" s="2">
        <f t="shared" si="25"/>
        <v>0.88779284833538841</v>
      </c>
      <c r="Q185" s="3" t="s">
        <v>224</v>
      </c>
      <c r="R185" t="s">
        <v>95</v>
      </c>
      <c r="S185">
        <v>3</v>
      </c>
      <c r="T185" s="2">
        <f t="shared" si="26"/>
        <v>0.16646115906288533</v>
      </c>
      <c r="U185" s="2">
        <v>1.571977093815804</v>
      </c>
      <c r="V185" s="2">
        <f t="shared" si="27"/>
        <v>8.7224376352294922E-2</v>
      </c>
      <c r="W185" s="2">
        <v>5.4515173137187958</v>
      </c>
      <c r="X185" s="2">
        <f t="shared" si="28"/>
        <v>0.30248863023100592</v>
      </c>
      <c r="Y185" s="2">
        <v>2.9129791120067239</v>
      </c>
      <c r="Z185" s="2">
        <f t="shared" si="29"/>
        <v>0.16163262643687124</v>
      </c>
      <c r="AA185">
        <v>2017</v>
      </c>
      <c r="AB185">
        <v>1</v>
      </c>
      <c r="AC185">
        <v>8500000</v>
      </c>
    </row>
    <row r="186" spans="1:29" x14ac:dyDescent="0.2">
      <c r="A186">
        <v>1140</v>
      </c>
      <c r="B186" t="s">
        <v>96</v>
      </c>
      <c r="C186">
        <v>37</v>
      </c>
      <c r="D186">
        <v>3330</v>
      </c>
      <c r="E186">
        <v>2</v>
      </c>
      <c r="F186" s="2">
        <f t="shared" si="20"/>
        <v>5.405405405405405E-2</v>
      </c>
      <c r="G186" s="2">
        <v>1.357211104594171</v>
      </c>
      <c r="H186" s="2">
        <f t="shared" si="21"/>
        <v>3.6681381205247866E-2</v>
      </c>
      <c r="I186">
        <v>0</v>
      </c>
      <c r="J186" s="2">
        <f t="shared" si="22"/>
        <v>0</v>
      </c>
      <c r="K186" s="2">
        <v>0.23270137514919051</v>
      </c>
      <c r="L186" s="2">
        <f t="shared" si="23"/>
        <v>6.2892263553835275E-3</v>
      </c>
      <c r="M186">
        <v>16</v>
      </c>
      <c r="N186" s="2">
        <f t="shared" si="24"/>
        <v>0.4324324324324324</v>
      </c>
      <c r="O186">
        <v>7</v>
      </c>
      <c r="P186" s="2">
        <f t="shared" si="25"/>
        <v>0.1891891891891892</v>
      </c>
      <c r="Q186" t="s">
        <v>224</v>
      </c>
      <c r="R186" t="s">
        <v>95</v>
      </c>
      <c r="S186">
        <v>2</v>
      </c>
      <c r="T186" s="2">
        <f t="shared" si="26"/>
        <v>5.405405405405405E-2</v>
      </c>
      <c r="U186" s="2">
        <v>1.357211104594171</v>
      </c>
      <c r="V186" s="2">
        <f t="shared" si="27"/>
        <v>3.6681381205247866E-2</v>
      </c>
      <c r="W186" s="2">
        <v>5.1272714100778103</v>
      </c>
      <c r="X186" s="2">
        <f t="shared" si="28"/>
        <v>0.13857490297507596</v>
      </c>
      <c r="Y186" s="2">
        <v>4.8445317111909389</v>
      </c>
      <c r="Z186" s="2">
        <f t="shared" si="29"/>
        <v>0.13093328949164701</v>
      </c>
      <c r="AA186">
        <v>2014</v>
      </c>
      <c r="AB186">
        <v>0</v>
      </c>
      <c r="AC186">
        <v>4700000</v>
      </c>
    </row>
    <row r="187" spans="1:29" x14ac:dyDescent="0.2">
      <c r="A187">
        <v>1140</v>
      </c>
      <c r="B187" t="s">
        <v>96</v>
      </c>
      <c r="C187">
        <v>34</v>
      </c>
      <c r="D187">
        <v>2945</v>
      </c>
      <c r="E187">
        <v>0</v>
      </c>
      <c r="F187" s="2">
        <f t="shared" si="20"/>
        <v>0</v>
      </c>
      <c r="G187" s="2">
        <v>1.1143196895718579</v>
      </c>
      <c r="H187" s="2">
        <f t="shared" si="21"/>
        <v>3.4053912414759663E-2</v>
      </c>
      <c r="I187">
        <v>0</v>
      </c>
      <c r="J187" s="2">
        <f t="shared" si="22"/>
        <v>0</v>
      </c>
      <c r="K187" s="2">
        <v>0.51705573499202728</v>
      </c>
      <c r="L187" s="2">
        <f t="shared" si="23"/>
        <v>1.5801363717922734E-2</v>
      </c>
      <c r="M187">
        <v>14</v>
      </c>
      <c r="N187" s="2">
        <f t="shared" si="24"/>
        <v>0.42784380305602715</v>
      </c>
      <c r="O187">
        <v>4</v>
      </c>
      <c r="P187" s="2">
        <f t="shared" si="25"/>
        <v>0.12224108658743633</v>
      </c>
      <c r="Q187" t="s">
        <v>224</v>
      </c>
      <c r="R187" t="s">
        <v>95</v>
      </c>
      <c r="S187">
        <v>0</v>
      </c>
      <c r="T187" s="2">
        <f t="shared" si="26"/>
        <v>0</v>
      </c>
      <c r="U187" s="2">
        <v>1.1143196895718579</v>
      </c>
      <c r="V187" s="2">
        <f t="shared" si="27"/>
        <v>3.4053912414759663E-2</v>
      </c>
      <c r="W187" s="2">
        <v>2.5098605062812571</v>
      </c>
      <c r="X187" s="2">
        <f t="shared" si="28"/>
        <v>7.6702018867678495E-2</v>
      </c>
      <c r="Y187" s="2">
        <v>2.4763203095644708</v>
      </c>
      <c r="Z187" s="2">
        <f t="shared" si="29"/>
        <v>7.5677021344924406E-2</v>
      </c>
      <c r="AA187">
        <v>2015</v>
      </c>
      <c r="AB187">
        <v>0</v>
      </c>
      <c r="AC187">
        <v>3500000</v>
      </c>
    </row>
    <row r="188" spans="1:29" x14ac:dyDescent="0.2">
      <c r="A188">
        <v>1140</v>
      </c>
      <c r="B188" t="s">
        <v>96</v>
      </c>
      <c r="C188">
        <v>36</v>
      </c>
      <c r="D188">
        <v>3204</v>
      </c>
      <c r="E188">
        <v>2</v>
      </c>
      <c r="F188" s="2">
        <f t="shared" si="20"/>
        <v>5.6179775280898875E-2</v>
      </c>
      <c r="G188" s="2">
        <v>1.1551256151869891</v>
      </c>
      <c r="H188" s="2">
        <f t="shared" si="21"/>
        <v>3.2447348741207561E-2</v>
      </c>
      <c r="I188">
        <v>1</v>
      </c>
      <c r="J188" s="2">
        <f t="shared" si="22"/>
        <v>2.8089887640449437E-2</v>
      </c>
      <c r="K188" s="2">
        <v>0.25927099771797663</v>
      </c>
      <c r="L188" s="2">
        <f t="shared" si="23"/>
        <v>7.2828931943251856E-3</v>
      </c>
      <c r="M188">
        <v>15</v>
      </c>
      <c r="N188" s="2">
        <f t="shared" si="24"/>
        <v>0.4213483146067416</v>
      </c>
      <c r="O188">
        <v>5</v>
      </c>
      <c r="P188" s="2">
        <f t="shared" si="25"/>
        <v>0.14044943820224717</v>
      </c>
      <c r="Q188" t="s">
        <v>224</v>
      </c>
      <c r="R188" t="s">
        <v>95</v>
      </c>
      <c r="S188">
        <v>2</v>
      </c>
      <c r="T188" s="2">
        <f t="shared" si="26"/>
        <v>5.6179775280898875E-2</v>
      </c>
      <c r="U188" s="2">
        <v>1.1551256151869891</v>
      </c>
      <c r="V188" s="2">
        <f t="shared" si="27"/>
        <v>3.2447348741207561E-2</v>
      </c>
      <c r="W188" s="2">
        <v>3.6634752415120602</v>
      </c>
      <c r="X188" s="2">
        <f t="shared" si="28"/>
        <v>0.10290660790764215</v>
      </c>
      <c r="Y188" s="2">
        <v>3.3979752473533149</v>
      </c>
      <c r="Z188" s="2">
        <f t="shared" si="29"/>
        <v>9.5448742903183004E-2</v>
      </c>
      <c r="AA188">
        <v>2016</v>
      </c>
      <c r="AB188">
        <v>1</v>
      </c>
      <c r="AC188">
        <v>2000000</v>
      </c>
    </row>
    <row r="189" spans="1:29" x14ac:dyDescent="0.2">
      <c r="A189">
        <v>1140</v>
      </c>
      <c r="B189" t="s">
        <v>96</v>
      </c>
      <c r="C189">
        <v>32</v>
      </c>
      <c r="D189">
        <v>2783</v>
      </c>
      <c r="E189">
        <v>1</v>
      </c>
      <c r="F189" s="2">
        <f t="shared" si="20"/>
        <v>3.2339202299676607E-2</v>
      </c>
      <c r="G189" s="2">
        <v>1.03992192260921</v>
      </c>
      <c r="H189" s="2">
        <f t="shared" si="21"/>
        <v>3.3630245431127886E-2</v>
      </c>
      <c r="I189">
        <v>0</v>
      </c>
      <c r="J189" s="2">
        <f t="shared" si="22"/>
        <v>0</v>
      </c>
      <c r="K189" s="2">
        <v>0.100930199958384</v>
      </c>
      <c r="L189" s="2">
        <f t="shared" si="23"/>
        <v>3.2640021546009911E-3</v>
      </c>
      <c r="M189">
        <v>15</v>
      </c>
      <c r="N189" s="2">
        <f t="shared" si="24"/>
        <v>0.48508803449514915</v>
      </c>
      <c r="O189">
        <v>3</v>
      </c>
      <c r="P189" s="2">
        <f t="shared" si="25"/>
        <v>9.7017606899029815E-2</v>
      </c>
      <c r="Q189" t="s">
        <v>224</v>
      </c>
      <c r="R189" t="s">
        <v>95</v>
      </c>
      <c r="S189">
        <v>1</v>
      </c>
      <c r="T189" s="2">
        <f t="shared" si="26"/>
        <v>3.2339202299676607E-2</v>
      </c>
      <c r="U189" s="2">
        <v>1.03992192260921</v>
      </c>
      <c r="V189" s="2">
        <f t="shared" si="27"/>
        <v>3.3630245431127886E-2</v>
      </c>
      <c r="W189" s="2">
        <v>6.1969852717593312</v>
      </c>
      <c r="X189" s="2">
        <f t="shared" si="28"/>
        <v>0.20040556035154145</v>
      </c>
      <c r="Y189" s="2">
        <v>6.1440480696037412</v>
      </c>
      <c r="Z189" s="2">
        <f t="shared" si="29"/>
        <v>0.19869361346185291</v>
      </c>
      <c r="AA189">
        <v>2017</v>
      </c>
      <c r="AB189">
        <v>1</v>
      </c>
      <c r="AC189">
        <v>1000000</v>
      </c>
    </row>
    <row r="190" spans="1:29" x14ac:dyDescent="0.2">
      <c r="A190">
        <v>1151</v>
      </c>
      <c r="B190" t="s">
        <v>97</v>
      </c>
      <c r="C190">
        <v>28</v>
      </c>
      <c r="D190">
        <v>2133</v>
      </c>
      <c r="E190">
        <v>1</v>
      </c>
      <c r="F190" s="2">
        <f t="shared" si="20"/>
        <v>4.2194092827004225E-2</v>
      </c>
      <c r="G190" s="2">
        <v>1.2907552849501369</v>
      </c>
      <c r="H190" s="2">
        <f t="shared" si="21"/>
        <v>5.4462248310132362E-2</v>
      </c>
      <c r="I190">
        <v>9</v>
      </c>
      <c r="J190" s="2">
        <f t="shared" si="22"/>
        <v>0.37974683544303794</v>
      </c>
      <c r="K190" s="2">
        <v>5.523217954672873</v>
      </c>
      <c r="L190" s="2">
        <f t="shared" si="23"/>
        <v>0.23304717108324358</v>
      </c>
      <c r="M190">
        <v>24</v>
      </c>
      <c r="N190" s="2">
        <f t="shared" si="24"/>
        <v>1.0126582278481013</v>
      </c>
      <c r="O190">
        <v>46</v>
      </c>
      <c r="P190" s="2">
        <f t="shared" si="25"/>
        <v>1.9409282700421941</v>
      </c>
      <c r="Q190" t="s">
        <v>223</v>
      </c>
      <c r="R190" t="s">
        <v>89</v>
      </c>
      <c r="S190">
        <v>1</v>
      </c>
      <c r="T190" s="2">
        <f t="shared" si="26"/>
        <v>4.2194092827004225E-2</v>
      </c>
      <c r="U190" s="2">
        <v>1.2907552849501369</v>
      </c>
      <c r="V190" s="2">
        <f t="shared" si="27"/>
        <v>5.4462248310132362E-2</v>
      </c>
      <c r="W190" s="2">
        <v>8.5779687026515603</v>
      </c>
      <c r="X190" s="2">
        <f t="shared" si="28"/>
        <v>0.36193960770681688</v>
      </c>
      <c r="Y190" s="2">
        <v>5.7064267285168171</v>
      </c>
      <c r="Z190" s="2">
        <f t="shared" si="29"/>
        <v>0.2407774990935366</v>
      </c>
      <c r="AA190">
        <v>2014</v>
      </c>
      <c r="AB190">
        <v>0</v>
      </c>
      <c r="AC190">
        <v>3200000</v>
      </c>
    </row>
    <row r="191" spans="1:29" x14ac:dyDescent="0.2">
      <c r="A191">
        <v>1151</v>
      </c>
      <c r="B191" t="s">
        <v>97</v>
      </c>
      <c r="C191">
        <v>16</v>
      </c>
      <c r="D191">
        <v>1221</v>
      </c>
      <c r="E191">
        <v>0</v>
      </c>
      <c r="F191" s="2">
        <f t="shared" si="20"/>
        <v>0</v>
      </c>
      <c r="G191" s="2">
        <v>0.31291360035538668</v>
      </c>
      <c r="H191" s="2">
        <f t="shared" si="21"/>
        <v>2.3064884547080097E-2</v>
      </c>
      <c r="I191">
        <v>1</v>
      </c>
      <c r="J191" s="2">
        <f t="shared" si="22"/>
        <v>7.3710073710073709E-2</v>
      </c>
      <c r="K191" s="2">
        <v>1.354577099904418</v>
      </c>
      <c r="L191" s="2">
        <f t="shared" si="23"/>
        <v>9.9845977879932546E-2</v>
      </c>
      <c r="M191">
        <v>14</v>
      </c>
      <c r="N191" s="2">
        <f t="shared" si="24"/>
        <v>1.0319410319410318</v>
      </c>
      <c r="O191">
        <v>19</v>
      </c>
      <c r="P191" s="2">
        <f t="shared" si="25"/>
        <v>1.4004914004914004</v>
      </c>
      <c r="Q191" t="s">
        <v>223</v>
      </c>
      <c r="R191" t="s">
        <v>89</v>
      </c>
      <c r="S191">
        <v>0</v>
      </c>
      <c r="T191" s="2">
        <f t="shared" si="26"/>
        <v>0</v>
      </c>
      <c r="U191" s="2">
        <v>0.31291360035538668</v>
      </c>
      <c r="V191" s="2">
        <f t="shared" si="27"/>
        <v>2.3064884547080097E-2</v>
      </c>
      <c r="W191" s="2">
        <v>4.4259744379669428</v>
      </c>
      <c r="X191" s="2">
        <f t="shared" si="28"/>
        <v>0.32623890206144546</v>
      </c>
      <c r="Y191" s="2">
        <v>3.1687056142836809</v>
      </c>
      <c r="Z191" s="2">
        <f t="shared" si="29"/>
        <v>0.23356552439437453</v>
      </c>
      <c r="AA191">
        <v>2015</v>
      </c>
      <c r="AB191">
        <v>0</v>
      </c>
      <c r="AC191">
        <v>2000000</v>
      </c>
    </row>
    <row r="192" spans="1:29" x14ac:dyDescent="0.2">
      <c r="A192">
        <v>1151</v>
      </c>
      <c r="B192" t="s">
        <v>97</v>
      </c>
      <c r="C192">
        <v>28</v>
      </c>
      <c r="D192">
        <v>1990</v>
      </c>
      <c r="E192">
        <v>0</v>
      </c>
      <c r="F192" s="2">
        <f t="shared" si="20"/>
        <v>0</v>
      </c>
      <c r="G192" s="2">
        <v>0.85521249752491713</v>
      </c>
      <c r="H192" s="2">
        <f t="shared" si="21"/>
        <v>3.8677952149368117E-2</v>
      </c>
      <c r="I192">
        <v>4</v>
      </c>
      <c r="J192" s="2">
        <f t="shared" si="22"/>
        <v>0.18090452261306533</v>
      </c>
      <c r="K192" s="2">
        <v>1.77990731690079</v>
      </c>
      <c r="L192" s="2">
        <f t="shared" si="23"/>
        <v>8.0498320864859849E-2</v>
      </c>
      <c r="M192">
        <v>19</v>
      </c>
      <c r="N192" s="2">
        <f t="shared" si="24"/>
        <v>0.85929648241206036</v>
      </c>
      <c r="O192">
        <v>17</v>
      </c>
      <c r="P192" s="2">
        <f t="shared" si="25"/>
        <v>0.76884422110552764</v>
      </c>
      <c r="Q192" t="s">
        <v>223</v>
      </c>
      <c r="R192" t="s">
        <v>95</v>
      </c>
      <c r="S192">
        <v>0</v>
      </c>
      <c r="T192" s="2">
        <f t="shared" si="26"/>
        <v>0</v>
      </c>
      <c r="U192" s="2">
        <v>0.85521249752491713</v>
      </c>
      <c r="V192" s="2">
        <f t="shared" si="27"/>
        <v>3.8677952149368117E-2</v>
      </c>
      <c r="W192" s="2">
        <v>5.6398870870471001</v>
      </c>
      <c r="X192" s="2">
        <f t="shared" si="28"/>
        <v>0.2550702702684618</v>
      </c>
      <c r="Y192" s="2">
        <v>4.5275253001600504</v>
      </c>
      <c r="Z192" s="2">
        <f t="shared" si="29"/>
        <v>0.2047624507610073</v>
      </c>
      <c r="AA192">
        <v>2016</v>
      </c>
      <c r="AB192">
        <v>1</v>
      </c>
      <c r="AC192">
        <v>1500000</v>
      </c>
    </row>
    <row r="193" spans="1:29" x14ac:dyDescent="0.2">
      <c r="A193">
        <v>1151</v>
      </c>
      <c r="B193" t="s">
        <v>97</v>
      </c>
      <c r="C193">
        <v>19</v>
      </c>
      <c r="D193">
        <v>745</v>
      </c>
      <c r="E193">
        <v>0</v>
      </c>
      <c r="F193" s="2">
        <f t="shared" si="20"/>
        <v>0</v>
      </c>
      <c r="G193" s="2">
        <v>3.9025800302624702E-2</v>
      </c>
      <c r="H193" s="2">
        <f t="shared" si="21"/>
        <v>4.7145262110553331E-3</v>
      </c>
      <c r="I193">
        <v>0</v>
      </c>
      <c r="J193" s="2">
        <f t="shared" si="22"/>
        <v>0</v>
      </c>
      <c r="K193" s="2">
        <v>0.55948180146515369</v>
      </c>
      <c r="L193" s="2">
        <f t="shared" si="23"/>
        <v>6.7588405546125954E-2</v>
      </c>
      <c r="M193">
        <v>2</v>
      </c>
      <c r="N193" s="2">
        <f t="shared" si="24"/>
        <v>0.24161073825503354</v>
      </c>
      <c r="O193">
        <v>13</v>
      </c>
      <c r="P193" s="2">
        <f t="shared" si="25"/>
        <v>1.5704697986577181</v>
      </c>
      <c r="Q193" t="s">
        <v>223</v>
      </c>
      <c r="R193" t="s">
        <v>95</v>
      </c>
      <c r="S193">
        <v>0</v>
      </c>
      <c r="T193" s="2">
        <f t="shared" si="26"/>
        <v>0</v>
      </c>
      <c r="U193" s="2">
        <v>3.9025800302624702E-2</v>
      </c>
      <c r="V193" s="2">
        <f t="shared" si="27"/>
        <v>4.7145262110553331E-3</v>
      </c>
      <c r="W193" s="2">
        <v>2.919578886590898</v>
      </c>
      <c r="X193" s="2">
        <f t="shared" si="28"/>
        <v>0.35270080509151785</v>
      </c>
      <c r="Y193" s="2">
        <v>2.4613161450251941</v>
      </c>
      <c r="Z193" s="2">
        <f t="shared" si="29"/>
        <v>0.29734020543928519</v>
      </c>
      <c r="AA193">
        <v>2017</v>
      </c>
      <c r="AB193">
        <v>1</v>
      </c>
      <c r="AC193">
        <v>600000</v>
      </c>
    </row>
    <row r="194" spans="1:29" x14ac:dyDescent="0.2">
      <c r="A194">
        <v>1178</v>
      </c>
      <c r="B194" t="s">
        <v>98</v>
      </c>
      <c r="C194">
        <v>25</v>
      </c>
      <c r="D194">
        <v>2050</v>
      </c>
      <c r="E194">
        <v>4</v>
      </c>
      <c r="F194" s="2">
        <f t="shared" si="20"/>
        <v>0.17560975609756097</v>
      </c>
      <c r="G194" s="2">
        <v>2.590171592310071</v>
      </c>
      <c r="H194" s="2">
        <f t="shared" si="21"/>
        <v>0.11371485039410067</v>
      </c>
      <c r="I194">
        <v>2</v>
      </c>
      <c r="J194" s="2">
        <f t="shared" si="22"/>
        <v>8.7804878048780483E-2</v>
      </c>
      <c r="K194" s="2">
        <v>1.227665420621634</v>
      </c>
      <c r="L194" s="2">
        <f t="shared" si="23"/>
        <v>5.389750627119369E-2</v>
      </c>
      <c r="M194">
        <v>41</v>
      </c>
      <c r="N194" s="2">
        <f t="shared" si="24"/>
        <v>1.8</v>
      </c>
      <c r="O194">
        <v>12</v>
      </c>
      <c r="P194" s="2">
        <f t="shared" si="25"/>
        <v>0.52682926829268295</v>
      </c>
      <c r="Q194" t="s">
        <v>223</v>
      </c>
      <c r="R194" t="s">
        <v>88</v>
      </c>
      <c r="S194">
        <v>4</v>
      </c>
      <c r="T194" s="2">
        <f t="shared" si="26"/>
        <v>0.17560975609756097</v>
      </c>
      <c r="U194" s="2">
        <v>2.590171592310071</v>
      </c>
      <c r="V194" s="2">
        <f t="shared" si="27"/>
        <v>0.11371485039410067</v>
      </c>
      <c r="W194" s="2">
        <v>7.9104263335466376</v>
      </c>
      <c r="X194" s="2">
        <f t="shared" si="28"/>
        <v>0.34728700976546212</v>
      </c>
      <c r="Y194" s="2">
        <v>4.5543532557785511</v>
      </c>
      <c r="Z194" s="2">
        <f t="shared" si="29"/>
        <v>0.19994721610735103</v>
      </c>
      <c r="AA194">
        <v>2020</v>
      </c>
      <c r="AB194">
        <v>0</v>
      </c>
      <c r="AC194">
        <v>8000000</v>
      </c>
    </row>
    <row r="195" spans="1:29" x14ac:dyDescent="0.2">
      <c r="A195">
        <v>1178</v>
      </c>
      <c r="B195" t="s">
        <v>98</v>
      </c>
      <c r="C195">
        <v>34</v>
      </c>
      <c r="D195">
        <v>2356</v>
      </c>
      <c r="E195">
        <v>1</v>
      </c>
      <c r="F195" s="2">
        <f t="shared" ref="F195:F258" si="30">E195/D195*90</f>
        <v>3.8200339558573854E-2</v>
      </c>
      <c r="G195" s="2">
        <v>2.2183882165700202</v>
      </c>
      <c r="H195" s="2">
        <f t="shared" ref="H195:H258" si="31">G195/D195*90</f>
        <v>8.4743183145713843E-2</v>
      </c>
      <c r="I195">
        <v>5</v>
      </c>
      <c r="J195" s="2">
        <f t="shared" ref="J195:J258" si="32">I195/D195*90</f>
        <v>0.19100169779286927</v>
      </c>
      <c r="K195" s="2">
        <v>4.7275060601532459</v>
      </c>
      <c r="L195" s="2">
        <f t="shared" ref="L195:L258" si="33">K195/D195*90</f>
        <v>0.18059233676306966</v>
      </c>
      <c r="M195">
        <v>37</v>
      </c>
      <c r="N195" s="2">
        <f t="shared" ref="N195:N258" si="34">M195/D195*90</f>
        <v>1.4134125636672326</v>
      </c>
      <c r="O195">
        <v>34</v>
      </c>
      <c r="P195" s="2">
        <f t="shared" ref="P195:P258" si="35">O195/D195*90</f>
        <v>1.298811544991511</v>
      </c>
      <c r="Q195" s="3" t="s">
        <v>223</v>
      </c>
      <c r="R195" t="s">
        <v>93</v>
      </c>
      <c r="S195">
        <v>1</v>
      </c>
      <c r="T195" s="2">
        <f t="shared" ref="T195:T258" si="36">S195/D195*90</f>
        <v>3.8200339558573854E-2</v>
      </c>
      <c r="U195" s="2">
        <v>2.2183882165700202</v>
      </c>
      <c r="V195" s="2">
        <f t="shared" ref="V195:V258" si="37">U195/D195*90</f>
        <v>8.4743183145713843E-2</v>
      </c>
      <c r="W195" s="2">
        <v>14.88836310058832</v>
      </c>
      <c r="X195" s="2">
        <f t="shared" ref="X195:X258" si="38">W195/D195*90</f>
        <v>0.5687405259138153</v>
      </c>
      <c r="Y195" s="2">
        <v>10.69713562354446</v>
      </c>
      <c r="Z195" s="2">
        <f t="shared" ref="Z195:Z258" si="39">Y195/D195*90</f>
        <v>0.408634213123515</v>
      </c>
      <c r="AA195">
        <v>2021</v>
      </c>
      <c r="AB195">
        <v>0</v>
      </c>
      <c r="AC195">
        <v>9000000</v>
      </c>
    </row>
    <row r="196" spans="1:29" x14ac:dyDescent="0.2">
      <c r="A196">
        <v>1178</v>
      </c>
      <c r="B196" t="s">
        <v>98</v>
      </c>
      <c r="C196">
        <v>21</v>
      </c>
      <c r="D196">
        <v>1485</v>
      </c>
      <c r="E196">
        <v>4</v>
      </c>
      <c r="F196" s="2">
        <f t="shared" si="30"/>
        <v>0.24242424242424243</v>
      </c>
      <c r="G196" s="2">
        <v>1.1971252392977481</v>
      </c>
      <c r="H196" s="2">
        <f t="shared" si="31"/>
        <v>7.255304480592413E-2</v>
      </c>
      <c r="I196">
        <v>2</v>
      </c>
      <c r="J196" s="2">
        <f t="shared" si="32"/>
        <v>0.12121212121212122</v>
      </c>
      <c r="K196" s="2">
        <v>1.7962093967944379</v>
      </c>
      <c r="L196" s="2">
        <f t="shared" si="33"/>
        <v>0.10886117556329926</v>
      </c>
      <c r="M196">
        <v>25</v>
      </c>
      <c r="N196" s="2">
        <f t="shared" si="34"/>
        <v>1.5151515151515151</v>
      </c>
      <c r="O196">
        <v>15</v>
      </c>
      <c r="P196" s="2">
        <f t="shared" si="35"/>
        <v>0.90909090909090917</v>
      </c>
      <c r="Q196" s="3" t="s">
        <v>223</v>
      </c>
      <c r="R196" t="s">
        <v>93</v>
      </c>
      <c r="S196">
        <v>4</v>
      </c>
      <c r="T196" s="2">
        <f t="shared" si="36"/>
        <v>0.24242424242424243</v>
      </c>
      <c r="U196" s="2">
        <v>1.1971252392977481</v>
      </c>
      <c r="V196" s="2">
        <f t="shared" si="37"/>
        <v>7.255304480592413E-2</v>
      </c>
      <c r="W196" s="2">
        <v>7.2590606641024351</v>
      </c>
      <c r="X196" s="2">
        <f t="shared" si="38"/>
        <v>0.43994307055166271</v>
      </c>
      <c r="Y196" s="2">
        <v>5.3828863054513931</v>
      </c>
      <c r="Z196" s="2">
        <f t="shared" si="39"/>
        <v>0.32623553366372077</v>
      </c>
      <c r="AA196">
        <v>2022</v>
      </c>
      <c r="AB196">
        <v>1</v>
      </c>
      <c r="AC196">
        <v>7000000</v>
      </c>
    </row>
    <row r="197" spans="1:29" x14ac:dyDescent="0.2">
      <c r="A197">
        <v>1178</v>
      </c>
      <c r="B197" t="s">
        <v>98</v>
      </c>
      <c r="C197">
        <v>31</v>
      </c>
      <c r="D197">
        <v>1888</v>
      </c>
      <c r="E197">
        <v>2</v>
      </c>
      <c r="F197" s="2">
        <f t="shared" si="30"/>
        <v>9.5338983050847453E-2</v>
      </c>
      <c r="G197" s="2">
        <v>3.113600242882967</v>
      </c>
      <c r="H197" s="2">
        <f t="shared" si="31"/>
        <v>0.14842374039166686</v>
      </c>
      <c r="I197">
        <v>1</v>
      </c>
      <c r="J197" s="2">
        <f t="shared" si="32"/>
        <v>4.7669491525423727E-2</v>
      </c>
      <c r="K197" s="2">
        <v>2.084370044060051</v>
      </c>
      <c r="L197" s="2">
        <f t="shared" si="33"/>
        <v>9.9360860151167685E-2</v>
      </c>
      <c r="M197">
        <v>37</v>
      </c>
      <c r="N197" s="2">
        <f t="shared" si="34"/>
        <v>1.763771186440678</v>
      </c>
      <c r="O197">
        <v>17</v>
      </c>
      <c r="P197" s="2">
        <f t="shared" si="35"/>
        <v>0.8103813559322034</v>
      </c>
      <c r="Q197" s="3" t="s">
        <v>223</v>
      </c>
      <c r="R197" t="s">
        <v>93</v>
      </c>
      <c r="S197">
        <v>2</v>
      </c>
      <c r="T197" s="2">
        <f t="shared" si="36"/>
        <v>9.5338983050847453E-2</v>
      </c>
      <c r="U197" s="2">
        <v>3.113600242882967</v>
      </c>
      <c r="V197" s="2">
        <f t="shared" si="37"/>
        <v>0.14842374039166686</v>
      </c>
      <c r="W197" s="2">
        <v>9.8838505167514086</v>
      </c>
      <c r="X197" s="2">
        <f t="shared" si="38"/>
        <v>0.47115812844683624</v>
      </c>
      <c r="Y197" s="2">
        <v>5.8547531142830849</v>
      </c>
      <c r="Z197" s="2">
        <f t="shared" si="39"/>
        <v>0.27909310396476567</v>
      </c>
      <c r="AA197">
        <v>2023</v>
      </c>
      <c r="AB197">
        <v>1</v>
      </c>
      <c r="AC197">
        <v>6000000</v>
      </c>
    </row>
    <row r="198" spans="1:29" x14ac:dyDescent="0.2">
      <c r="A198">
        <v>1250</v>
      </c>
      <c r="B198" t="s">
        <v>99</v>
      </c>
      <c r="C198">
        <v>34</v>
      </c>
      <c r="D198">
        <v>2904</v>
      </c>
      <c r="E198">
        <v>19</v>
      </c>
      <c r="F198" s="2">
        <f t="shared" si="30"/>
        <v>0.58884297520661155</v>
      </c>
      <c r="G198" s="2">
        <v>20.663322348147631</v>
      </c>
      <c r="H198" s="2">
        <f t="shared" si="31"/>
        <v>0.64039222153350095</v>
      </c>
      <c r="I198">
        <v>10</v>
      </c>
      <c r="J198" s="2">
        <f t="shared" si="32"/>
        <v>0.30991735537190085</v>
      </c>
      <c r="K198" s="2">
        <v>8.7260416857898235</v>
      </c>
      <c r="L198" s="2">
        <f t="shared" si="33"/>
        <v>0.27043517621249452</v>
      </c>
      <c r="M198">
        <v>132</v>
      </c>
      <c r="N198" s="2">
        <f t="shared" si="34"/>
        <v>4.0909090909090908</v>
      </c>
      <c r="O198">
        <v>60</v>
      </c>
      <c r="P198" s="2">
        <f t="shared" si="35"/>
        <v>1.859504132231405</v>
      </c>
      <c r="Q198" t="s">
        <v>222</v>
      </c>
      <c r="R198" t="s">
        <v>31</v>
      </c>
      <c r="S198">
        <v>16</v>
      </c>
      <c r="T198" s="2">
        <f t="shared" si="36"/>
        <v>0.49586776859504134</v>
      </c>
      <c r="U198" s="2">
        <v>18.37981333211064</v>
      </c>
      <c r="V198" s="2">
        <f t="shared" si="37"/>
        <v>0.56962231401169339</v>
      </c>
      <c r="W198" s="2">
        <v>31.374189421534538</v>
      </c>
      <c r="X198" s="2">
        <f t="shared" si="38"/>
        <v>0.97234058124590506</v>
      </c>
      <c r="Y198" s="2">
        <v>8.425027072429657</v>
      </c>
      <c r="Z198" s="2">
        <f t="shared" si="39"/>
        <v>0.26110621092240677</v>
      </c>
      <c r="AA198">
        <v>2019</v>
      </c>
      <c r="AB198">
        <v>0</v>
      </c>
      <c r="AC198">
        <v>120000000</v>
      </c>
    </row>
    <row r="199" spans="1:29" x14ac:dyDescent="0.2">
      <c r="A199">
        <v>1250</v>
      </c>
      <c r="B199" t="s">
        <v>99</v>
      </c>
      <c r="C199">
        <v>37</v>
      </c>
      <c r="D199">
        <v>3085</v>
      </c>
      <c r="E199">
        <v>22</v>
      </c>
      <c r="F199" s="2">
        <f t="shared" si="30"/>
        <v>0.64181523500810367</v>
      </c>
      <c r="G199" s="2">
        <v>20.25085051171482</v>
      </c>
      <c r="H199" s="2">
        <f t="shared" si="31"/>
        <v>0.5907865627404647</v>
      </c>
      <c r="I199">
        <v>5</v>
      </c>
      <c r="J199" s="2">
        <f t="shared" si="32"/>
        <v>0.14586709886547811</v>
      </c>
      <c r="K199" s="2">
        <v>6.5285275597125292</v>
      </c>
      <c r="L199" s="2">
        <f t="shared" si="33"/>
        <v>0.19045947499971722</v>
      </c>
      <c r="M199">
        <v>126</v>
      </c>
      <c r="N199" s="2">
        <f t="shared" si="34"/>
        <v>3.6758508914100489</v>
      </c>
      <c r="O199">
        <v>55</v>
      </c>
      <c r="P199" s="2">
        <f t="shared" si="35"/>
        <v>1.6045380875202593</v>
      </c>
      <c r="Q199" t="s">
        <v>222</v>
      </c>
      <c r="R199" t="s">
        <v>31</v>
      </c>
      <c r="S199">
        <v>16</v>
      </c>
      <c r="T199" s="2">
        <f t="shared" si="36"/>
        <v>0.46677471636952994</v>
      </c>
      <c r="U199" s="2">
        <v>15.6838341075927</v>
      </c>
      <c r="V199" s="2">
        <f t="shared" si="37"/>
        <v>0.45755107607239642</v>
      </c>
      <c r="W199" s="2">
        <v>28.96822943910956</v>
      </c>
      <c r="X199" s="2">
        <f t="shared" si="38"/>
        <v>0.8451023175104897</v>
      </c>
      <c r="Y199" s="2">
        <v>9.800236526876688</v>
      </c>
      <c r="Z199" s="2">
        <f t="shared" si="39"/>
        <v>0.28590641407419837</v>
      </c>
      <c r="AA199">
        <v>2020</v>
      </c>
      <c r="AB199">
        <v>0</v>
      </c>
      <c r="AC199">
        <v>100000000</v>
      </c>
    </row>
    <row r="200" spans="1:29" x14ac:dyDescent="0.2">
      <c r="A200">
        <v>1250</v>
      </c>
      <c r="B200" t="s">
        <v>99</v>
      </c>
      <c r="C200">
        <v>35</v>
      </c>
      <c r="D200">
        <v>2757</v>
      </c>
      <c r="E200">
        <v>23</v>
      </c>
      <c r="F200" s="2">
        <f t="shared" si="30"/>
        <v>0.75081610446137115</v>
      </c>
      <c r="G200" s="2">
        <v>24.364288866519932</v>
      </c>
      <c r="H200" s="2">
        <f t="shared" si="31"/>
        <v>0.79535219368400212</v>
      </c>
      <c r="I200">
        <v>13</v>
      </c>
      <c r="J200" s="2">
        <f t="shared" si="32"/>
        <v>0.42437431991294883</v>
      </c>
      <c r="K200" s="2">
        <v>9.7908222265541553</v>
      </c>
      <c r="L200" s="2">
        <f t="shared" si="33"/>
        <v>0.31961334798326946</v>
      </c>
      <c r="M200">
        <v>139</v>
      </c>
      <c r="N200" s="2">
        <f t="shared" si="34"/>
        <v>4.5375408052230686</v>
      </c>
      <c r="O200">
        <v>62</v>
      </c>
      <c r="P200" s="2">
        <f t="shared" si="35"/>
        <v>2.0239390642002175</v>
      </c>
      <c r="Q200" t="s">
        <v>222</v>
      </c>
      <c r="R200" t="s">
        <v>31</v>
      </c>
      <c r="S200">
        <v>18</v>
      </c>
      <c r="T200" s="2">
        <f t="shared" si="36"/>
        <v>0.58759521218715993</v>
      </c>
      <c r="U200" s="2">
        <v>19.797274902462959</v>
      </c>
      <c r="V200" s="2">
        <f t="shared" si="37"/>
        <v>0.64626577483556991</v>
      </c>
      <c r="W200" s="2">
        <v>32.158800520002842</v>
      </c>
      <c r="X200" s="2">
        <f t="shared" si="38"/>
        <v>1.0497976230686457</v>
      </c>
      <c r="Y200" s="2">
        <v>11.221979610621929</v>
      </c>
      <c r="Z200" s="2">
        <f t="shared" si="39"/>
        <v>0.36633230502574304</v>
      </c>
      <c r="AA200">
        <v>2021</v>
      </c>
      <c r="AB200">
        <v>1</v>
      </c>
      <c r="AC200">
        <v>90000000</v>
      </c>
    </row>
    <row r="201" spans="1:29" x14ac:dyDescent="0.2">
      <c r="A201">
        <v>1250</v>
      </c>
      <c r="B201" t="s">
        <v>99</v>
      </c>
      <c r="C201">
        <v>38</v>
      </c>
      <c r="D201">
        <v>3307</v>
      </c>
      <c r="E201">
        <v>19</v>
      </c>
      <c r="F201" s="2">
        <f t="shared" si="30"/>
        <v>0.51708497127305719</v>
      </c>
      <c r="G201" s="2">
        <v>23.340063713490959</v>
      </c>
      <c r="H201" s="2">
        <f t="shared" si="31"/>
        <v>0.63519979867377874</v>
      </c>
      <c r="I201">
        <v>12</v>
      </c>
      <c r="J201" s="2">
        <f t="shared" si="32"/>
        <v>0.32657998185666764</v>
      </c>
      <c r="K201" s="2">
        <v>8.720245610922575</v>
      </c>
      <c r="L201" s="2">
        <f t="shared" si="33"/>
        <v>0.23732147111673169</v>
      </c>
      <c r="M201">
        <v>125</v>
      </c>
      <c r="N201" s="2">
        <f t="shared" si="34"/>
        <v>3.4018748110069548</v>
      </c>
      <c r="O201">
        <v>65</v>
      </c>
      <c r="P201" s="2">
        <f t="shared" si="35"/>
        <v>1.7689749017236165</v>
      </c>
      <c r="Q201" t="s">
        <v>222</v>
      </c>
      <c r="R201" t="s">
        <v>31</v>
      </c>
      <c r="S201">
        <v>17</v>
      </c>
      <c r="T201" s="2">
        <f t="shared" si="36"/>
        <v>0.46265497429694591</v>
      </c>
      <c r="U201" s="2">
        <v>20.295387655496601</v>
      </c>
      <c r="V201" s="2">
        <f t="shared" si="37"/>
        <v>0.55233894435884312</v>
      </c>
      <c r="W201" s="2">
        <v>32.544137932360172</v>
      </c>
      <c r="X201" s="2">
        <f t="shared" si="38"/>
        <v>0.88568866462425633</v>
      </c>
      <c r="Y201" s="2">
        <v>8.8667826745659113</v>
      </c>
      <c r="Z201" s="2">
        <f t="shared" si="39"/>
        <v>0.24130947708222922</v>
      </c>
      <c r="AA201">
        <v>2022</v>
      </c>
      <c r="AB201">
        <v>1</v>
      </c>
      <c r="AC201">
        <v>65000000</v>
      </c>
    </row>
    <row r="202" spans="1:29" x14ac:dyDescent="0.2">
      <c r="A202">
        <v>1311</v>
      </c>
      <c r="B202" t="s">
        <v>100</v>
      </c>
      <c r="C202">
        <v>25</v>
      </c>
      <c r="D202">
        <v>688</v>
      </c>
      <c r="E202">
        <v>1</v>
      </c>
      <c r="F202" s="2">
        <f t="shared" si="30"/>
        <v>0.1308139534883721</v>
      </c>
      <c r="G202" s="2">
        <v>0.71243579126894474</v>
      </c>
      <c r="H202" s="2">
        <f t="shared" si="31"/>
        <v>9.3196542462507304E-2</v>
      </c>
      <c r="I202">
        <v>2</v>
      </c>
      <c r="J202" s="2">
        <f t="shared" si="32"/>
        <v>0.26162790697674421</v>
      </c>
      <c r="K202" s="2">
        <v>1.2849788051098581</v>
      </c>
      <c r="L202" s="2">
        <f t="shared" si="33"/>
        <v>0.16809315764518493</v>
      </c>
      <c r="M202">
        <v>8</v>
      </c>
      <c r="N202" s="2">
        <f t="shared" si="34"/>
        <v>1.0465116279069768</v>
      </c>
      <c r="O202">
        <v>8</v>
      </c>
      <c r="P202" s="2">
        <f t="shared" si="35"/>
        <v>1.0465116279069768</v>
      </c>
      <c r="Q202" t="s">
        <v>223</v>
      </c>
      <c r="R202" t="s">
        <v>57</v>
      </c>
      <c r="S202">
        <v>1</v>
      </c>
      <c r="T202" s="2">
        <f t="shared" si="36"/>
        <v>0.1308139534883721</v>
      </c>
      <c r="U202" s="2">
        <v>0.71243579126894474</v>
      </c>
      <c r="V202" s="2">
        <f t="shared" si="37"/>
        <v>9.3196542462507304E-2</v>
      </c>
      <c r="W202" s="2">
        <v>2.997526310384274</v>
      </c>
      <c r="X202" s="2">
        <f t="shared" si="38"/>
        <v>0.39211826734678001</v>
      </c>
      <c r="Y202" s="2">
        <v>1.9331392236053939</v>
      </c>
      <c r="Z202" s="2">
        <f t="shared" si="39"/>
        <v>0.25288158448326375</v>
      </c>
      <c r="AA202">
        <v>2020</v>
      </c>
      <c r="AB202">
        <v>0</v>
      </c>
      <c r="AC202">
        <v>6000000</v>
      </c>
    </row>
    <row r="203" spans="1:29" x14ac:dyDescent="0.2">
      <c r="A203">
        <v>1311</v>
      </c>
      <c r="B203" t="s">
        <v>100</v>
      </c>
      <c r="C203">
        <v>28</v>
      </c>
      <c r="D203">
        <v>1407</v>
      </c>
      <c r="E203">
        <v>0</v>
      </c>
      <c r="F203" s="2">
        <f t="shared" si="30"/>
        <v>0</v>
      </c>
      <c r="G203" s="2">
        <v>0.69307021796703339</v>
      </c>
      <c r="H203" s="2">
        <f t="shared" si="31"/>
        <v>4.4332849763349683E-2</v>
      </c>
      <c r="I203">
        <v>2</v>
      </c>
      <c r="J203" s="2">
        <f t="shared" si="32"/>
        <v>0.1279317697228145</v>
      </c>
      <c r="K203" s="2">
        <v>2.0759631283581261</v>
      </c>
      <c r="L203" s="2">
        <f t="shared" si="33"/>
        <v>0.1327908184450827</v>
      </c>
      <c r="M203">
        <v>10</v>
      </c>
      <c r="N203" s="2">
        <f t="shared" si="34"/>
        <v>0.63965884861407252</v>
      </c>
      <c r="O203">
        <v>17</v>
      </c>
      <c r="P203" s="2">
        <f t="shared" si="35"/>
        <v>1.0874200426439231</v>
      </c>
      <c r="Q203" t="s">
        <v>223</v>
      </c>
      <c r="R203" t="s">
        <v>57</v>
      </c>
      <c r="S203">
        <v>0</v>
      </c>
      <c r="T203" s="2">
        <f t="shared" si="36"/>
        <v>0</v>
      </c>
      <c r="U203" s="2">
        <v>0.69307021796703339</v>
      </c>
      <c r="V203" s="2">
        <f t="shared" si="37"/>
        <v>4.4332849763349683E-2</v>
      </c>
      <c r="W203" s="2">
        <v>4.754886619746685</v>
      </c>
      <c r="X203" s="2">
        <f t="shared" si="38"/>
        <v>0.30415053004776238</v>
      </c>
      <c r="Y203" s="2">
        <v>3.326757125556469</v>
      </c>
      <c r="Z203" s="2">
        <f t="shared" si="39"/>
        <v>0.21279896325521125</v>
      </c>
      <c r="AA203">
        <v>2021</v>
      </c>
      <c r="AB203">
        <v>0</v>
      </c>
      <c r="AC203">
        <v>9000000</v>
      </c>
    </row>
    <row r="204" spans="1:29" x14ac:dyDescent="0.2">
      <c r="A204">
        <v>1311</v>
      </c>
      <c r="B204" t="s">
        <v>100</v>
      </c>
      <c r="C204">
        <v>23</v>
      </c>
      <c r="D204">
        <v>1675</v>
      </c>
      <c r="E204">
        <v>0</v>
      </c>
      <c r="F204" s="2">
        <f t="shared" si="30"/>
        <v>0</v>
      </c>
      <c r="G204" s="2">
        <v>1.1503069363534451</v>
      </c>
      <c r="H204" s="2">
        <f t="shared" si="31"/>
        <v>6.1807536878692566E-2</v>
      </c>
      <c r="I204">
        <v>1</v>
      </c>
      <c r="J204" s="2">
        <f t="shared" si="32"/>
        <v>5.3731343283582089E-2</v>
      </c>
      <c r="K204" s="2">
        <v>1.6089545805007219</v>
      </c>
      <c r="L204" s="2">
        <f t="shared" si="33"/>
        <v>8.6451290892576096E-2</v>
      </c>
      <c r="M204">
        <v>14</v>
      </c>
      <c r="N204" s="2">
        <f t="shared" si="34"/>
        <v>0.75223880597014914</v>
      </c>
      <c r="O204">
        <v>15</v>
      </c>
      <c r="P204" s="2">
        <f t="shared" si="35"/>
        <v>0.80597014925373134</v>
      </c>
      <c r="Q204" t="s">
        <v>223</v>
      </c>
      <c r="R204" t="s">
        <v>57</v>
      </c>
      <c r="S204">
        <v>0</v>
      </c>
      <c r="T204" s="2">
        <f t="shared" si="36"/>
        <v>0</v>
      </c>
      <c r="U204" s="2">
        <v>1.1503069363534451</v>
      </c>
      <c r="V204" s="2">
        <f t="shared" si="37"/>
        <v>6.1807536878692566E-2</v>
      </c>
      <c r="W204" s="2">
        <v>7.7704257741570473</v>
      </c>
      <c r="X204" s="2">
        <f t="shared" si="38"/>
        <v>0.41751541473082643</v>
      </c>
      <c r="Y204" s="2">
        <v>5.4333314280956984</v>
      </c>
      <c r="Z204" s="2">
        <f t="shared" si="39"/>
        <v>0.29194019613648531</v>
      </c>
      <c r="AA204">
        <v>2022</v>
      </c>
      <c r="AB204">
        <v>1</v>
      </c>
      <c r="AC204">
        <v>10000000</v>
      </c>
    </row>
    <row r="205" spans="1:29" x14ac:dyDescent="0.2">
      <c r="A205">
        <v>1311</v>
      </c>
      <c r="B205" t="s">
        <v>100</v>
      </c>
      <c r="C205">
        <v>10</v>
      </c>
      <c r="D205">
        <v>684</v>
      </c>
      <c r="E205">
        <v>0</v>
      </c>
      <c r="F205" s="2">
        <f t="shared" si="30"/>
        <v>0</v>
      </c>
      <c r="G205" s="2">
        <v>0.19375419616699219</v>
      </c>
      <c r="H205" s="2">
        <f t="shared" si="31"/>
        <v>2.5493973179867395E-2</v>
      </c>
      <c r="I205">
        <v>0</v>
      </c>
      <c r="J205" s="2">
        <f t="shared" si="32"/>
        <v>0</v>
      </c>
      <c r="K205" s="2">
        <v>0.43641785159707069</v>
      </c>
      <c r="L205" s="2">
        <f t="shared" si="33"/>
        <v>5.7423401525930361E-2</v>
      </c>
      <c r="M205">
        <v>2</v>
      </c>
      <c r="N205" s="2">
        <f t="shared" si="34"/>
        <v>0.26315789473684209</v>
      </c>
      <c r="O205">
        <v>5</v>
      </c>
      <c r="P205" s="2">
        <f t="shared" si="35"/>
        <v>0.6578947368421052</v>
      </c>
      <c r="Q205" t="s">
        <v>223</v>
      </c>
      <c r="R205" t="s">
        <v>57</v>
      </c>
      <c r="S205">
        <v>0</v>
      </c>
      <c r="T205" s="2">
        <f t="shared" si="36"/>
        <v>0</v>
      </c>
      <c r="U205" s="2">
        <v>0.19375419616699219</v>
      </c>
      <c r="V205" s="2">
        <f t="shared" si="37"/>
        <v>2.5493973179867395E-2</v>
      </c>
      <c r="W205" s="2">
        <v>3.1321659423410888</v>
      </c>
      <c r="X205" s="2">
        <f t="shared" si="38"/>
        <v>0.41212709767645905</v>
      </c>
      <c r="Y205" s="2">
        <v>2.8424993939697738</v>
      </c>
      <c r="Z205" s="2">
        <f t="shared" si="39"/>
        <v>0.37401307815391766</v>
      </c>
      <c r="AA205">
        <v>2023</v>
      </c>
      <c r="AB205">
        <v>1</v>
      </c>
      <c r="AC205">
        <v>8500000</v>
      </c>
    </row>
    <row r="206" spans="1:29" x14ac:dyDescent="0.2">
      <c r="A206">
        <v>1375</v>
      </c>
      <c r="B206" t="s">
        <v>101</v>
      </c>
      <c r="C206">
        <v>35</v>
      </c>
      <c r="D206">
        <v>3033</v>
      </c>
      <c r="E206">
        <v>0</v>
      </c>
      <c r="F206" s="2">
        <f t="shared" si="30"/>
        <v>0</v>
      </c>
      <c r="G206" s="2">
        <v>0.44956380687654018</v>
      </c>
      <c r="H206" s="2">
        <f t="shared" si="31"/>
        <v>1.3340172310876563E-2</v>
      </c>
      <c r="I206">
        <v>1</v>
      </c>
      <c r="J206" s="2">
        <f t="shared" si="32"/>
        <v>2.967359050445104E-2</v>
      </c>
      <c r="K206" s="2">
        <v>1.5182639984413979</v>
      </c>
      <c r="L206" s="2">
        <f t="shared" si="33"/>
        <v>4.5052344167400532E-2</v>
      </c>
      <c r="M206">
        <v>8</v>
      </c>
      <c r="N206" s="2">
        <f t="shared" si="34"/>
        <v>0.23738872403560832</v>
      </c>
      <c r="O206">
        <v>19</v>
      </c>
      <c r="P206" s="2">
        <f t="shared" si="35"/>
        <v>0.56379821958456977</v>
      </c>
      <c r="Q206" t="s">
        <v>224</v>
      </c>
      <c r="R206" t="s">
        <v>102</v>
      </c>
      <c r="S206">
        <v>0</v>
      </c>
      <c r="T206" s="2">
        <f t="shared" si="36"/>
        <v>0</v>
      </c>
      <c r="U206" s="2">
        <v>0.44956380687654018</v>
      </c>
      <c r="V206" s="2">
        <f t="shared" si="37"/>
        <v>1.3340172310876563E-2</v>
      </c>
      <c r="W206" s="2">
        <v>15.01859176158905</v>
      </c>
      <c r="X206" s="2">
        <f t="shared" si="38"/>
        <v>0.44565554188691547</v>
      </c>
      <c r="Y206" s="2">
        <v>13.776811998337511</v>
      </c>
      <c r="Z206" s="2">
        <f t="shared" si="39"/>
        <v>0.40880747769547515</v>
      </c>
      <c r="AA206">
        <v>2016</v>
      </c>
      <c r="AB206">
        <v>0</v>
      </c>
      <c r="AC206">
        <v>18000000</v>
      </c>
    </row>
    <row r="207" spans="1:29" x14ac:dyDescent="0.2">
      <c r="A207">
        <v>1375</v>
      </c>
      <c r="B207" t="s">
        <v>101</v>
      </c>
      <c r="C207">
        <v>35</v>
      </c>
      <c r="D207">
        <v>3128</v>
      </c>
      <c r="E207">
        <v>0</v>
      </c>
      <c r="F207" s="2">
        <f t="shared" si="30"/>
        <v>0</v>
      </c>
      <c r="G207" s="2">
        <v>0.46806670539081102</v>
      </c>
      <c r="H207" s="2">
        <f t="shared" si="31"/>
        <v>1.3467392418533565E-2</v>
      </c>
      <c r="I207">
        <v>1</v>
      </c>
      <c r="J207" s="2">
        <f t="shared" si="32"/>
        <v>2.8772378516624043E-2</v>
      </c>
      <c r="K207" s="2">
        <v>2.200503328815103</v>
      </c>
      <c r="L207" s="2">
        <f t="shared" si="33"/>
        <v>6.3313714703759363E-2</v>
      </c>
      <c r="M207">
        <v>11</v>
      </c>
      <c r="N207" s="2">
        <f t="shared" si="34"/>
        <v>0.31649616368286443</v>
      </c>
      <c r="O207">
        <v>20</v>
      </c>
      <c r="P207" s="2">
        <f t="shared" si="35"/>
        <v>0.57544757033248084</v>
      </c>
      <c r="Q207" t="s">
        <v>224</v>
      </c>
      <c r="R207" t="s">
        <v>102</v>
      </c>
      <c r="S207">
        <v>0</v>
      </c>
      <c r="T207" s="2">
        <f t="shared" si="36"/>
        <v>0</v>
      </c>
      <c r="U207" s="2">
        <v>0.46806670539081102</v>
      </c>
      <c r="V207" s="2">
        <f t="shared" si="37"/>
        <v>1.3467392418533565E-2</v>
      </c>
      <c r="W207" s="2">
        <v>14.3793930914253</v>
      </c>
      <c r="X207" s="2">
        <f t="shared" si="38"/>
        <v>0.41372934086581742</v>
      </c>
      <c r="Y207" s="2">
        <v>12.60126133076847</v>
      </c>
      <c r="Z207" s="2">
        <f t="shared" si="39"/>
        <v>0.36256826079576798</v>
      </c>
      <c r="AA207">
        <v>2017</v>
      </c>
      <c r="AB207">
        <v>0</v>
      </c>
      <c r="AC207">
        <v>25000000</v>
      </c>
    </row>
    <row r="208" spans="1:29" x14ac:dyDescent="0.2">
      <c r="A208">
        <v>1375</v>
      </c>
      <c r="B208" t="s">
        <v>101</v>
      </c>
      <c r="C208">
        <v>27</v>
      </c>
      <c r="D208">
        <v>2113</v>
      </c>
      <c r="E208">
        <v>0</v>
      </c>
      <c r="F208" s="2">
        <f t="shared" si="30"/>
        <v>0</v>
      </c>
      <c r="G208" s="2">
        <v>0.68158330209553242</v>
      </c>
      <c r="H208" s="2">
        <f t="shared" si="31"/>
        <v>2.9030997249691392E-2</v>
      </c>
      <c r="I208">
        <v>2</v>
      </c>
      <c r="J208" s="2">
        <f t="shared" si="32"/>
        <v>8.5186938002839566E-2</v>
      </c>
      <c r="K208" s="2">
        <v>0.65838918462395668</v>
      </c>
      <c r="L208" s="2">
        <f t="shared" si="33"/>
        <v>2.8043079326150546E-2</v>
      </c>
      <c r="M208">
        <v>13</v>
      </c>
      <c r="N208" s="2">
        <f t="shared" si="34"/>
        <v>0.55371509701845711</v>
      </c>
      <c r="O208">
        <v>15</v>
      </c>
      <c r="P208" s="2">
        <f t="shared" si="35"/>
        <v>0.63890203502129672</v>
      </c>
      <c r="Q208" t="s">
        <v>224</v>
      </c>
      <c r="R208" t="s">
        <v>102</v>
      </c>
      <c r="S208">
        <v>0</v>
      </c>
      <c r="T208" s="2">
        <f t="shared" si="36"/>
        <v>0</v>
      </c>
      <c r="U208" s="2">
        <v>0.68158330209553242</v>
      </c>
      <c r="V208" s="2">
        <f t="shared" si="37"/>
        <v>2.9030997249691392E-2</v>
      </c>
      <c r="W208" s="2">
        <v>12.3272317647934</v>
      </c>
      <c r="X208" s="2">
        <f t="shared" si="38"/>
        <v>0.5250595640470449</v>
      </c>
      <c r="Y208" s="2">
        <v>11.7477137632668</v>
      </c>
      <c r="Z208" s="2">
        <f t="shared" si="39"/>
        <v>0.500375882013257</v>
      </c>
      <c r="AA208">
        <v>2018</v>
      </c>
      <c r="AB208">
        <v>1</v>
      </c>
      <c r="AC208">
        <v>23000000</v>
      </c>
    </row>
    <row r="209" spans="1:29" x14ac:dyDescent="0.2">
      <c r="A209">
        <v>1375</v>
      </c>
      <c r="B209" t="s">
        <v>101</v>
      </c>
      <c r="C209">
        <v>20</v>
      </c>
      <c r="D209">
        <v>1485</v>
      </c>
      <c r="E209">
        <v>1</v>
      </c>
      <c r="F209" s="2">
        <f t="shared" si="30"/>
        <v>6.0606060606060608E-2</v>
      </c>
      <c r="G209" s="2">
        <v>0.22809719387441871</v>
      </c>
      <c r="H209" s="2">
        <f t="shared" si="31"/>
        <v>1.3824072356025377E-2</v>
      </c>
      <c r="I209">
        <v>2</v>
      </c>
      <c r="J209" s="2">
        <f t="shared" si="32"/>
        <v>0.12121212121212122</v>
      </c>
      <c r="K209" s="2">
        <v>1.664902675896883</v>
      </c>
      <c r="L209" s="2">
        <f t="shared" si="33"/>
        <v>0.10090319247859897</v>
      </c>
      <c r="M209">
        <v>5</v>
      </c>
      <c r="N209" s="2">
        <f t="shared" si="34"/>
        <v>0.30303030303030304</v>
      </c>
      <c r="O209">
        <v>21</v>
      </c>
      <c r="P209" s="2">
        <f t="shared" si="35"/>
        <v>1.2727272727272727</v>
      </c>
      <c r="Q209" t="s">
        <v>224</v>
      </c>
      <c r="R209" t="s">
        <v>102</v>
      </c>
      <c r="S209">
        <v>1</v>
      </c>
      <c r="T209" s="2">
        <f t="shared" si="36"/>
        <v>6.0606060606060608E-2</v>
      </c>
      <c r="U209" s="2">
        <v>0.22809719387441871</v>
      </c>
      <c r="V209" s="2">
        <f t="shared" si="37"/>
        <v>1.3824072356025377E-2</v>
      </c>
      <c r="W209" s="2">
        <v>6.8196190111339092</v>
      </c>
      <c r="X209" s="2">
        <f t="shared" si="38"/>
        <v>0.41331024309902475</v>
      </c>
      <c r="Y209" s="2">
        <v>6.0290345549583444</v>
      </c>
      <c r="Z209" s="2">
        <f t="shared" si="39"/>
        <v>0.36539603363383905</v>
      </c>
      <c r="AA209">
        <v>2019</v>
      </c>
      <c r="AB209">
        <v>1</v>
      </c>
      <c r="AC209">
        <v>13000000</v>
      </c>
    </row>
    <row r="210" spans="1:29" x14ac:dyDescent="0.2">
      <c r="A210">
        <v>1376</v>
      </c>
      <c r="B210" t="s">
        <v>103</v>
      </c>
      <c r="C210">
        <v>28</v>
      </c>
      <c r="D210">
        <v>2471</v>
      </c>
      <c r="E210">
        <v>2</v>
      </c>
      <c r="F210" s="2">
        <f t="shared" si="30"/>
        <v>7.2845002023472286E-2</v>
      </c>
      <c r="G210" s="2">
        <v>1.4635776747018101</v>
      </c>
      <c r="H210" s="2">
        <f t="shared" si="31"/>
        <v>5.3307159337581102E-2</v>
      </c>
      <c r="I210">
        <v>0</v>
      </c>
      <c r="J210" s="2">
        <f t="shared" si="32"/>
        <v>0</v>
      </c>
      <c r="K210" s="2">
        <v>0.60108390916138887</v>
      </c>
      <c r="L210" s="2">
        <f t="shared" si="33"/>
        <v>2.1892979289569001E-2</v>
      </c>
      <c r="M210">
        <v>10</v>
      </c>
      <c r="N210" s="2">
        <f t="shared" si="34"/>
        <v>0.36422501011736136</v>
      </c>
      <c r="O210">
        <v>6</v>
      </c>
      <c r="P210" s="2">
        <f t="shared" si="35"/>
        <v>0.21853500607041682</v>
      </c>
      <c r="Q210" s="3" t="s">
        <v>224</v>
      </c>
      <c r="R210" t="s">
        <v>102</v>
      </c>
      <c r="S210">
        <v>2</v>
      </c>
      <c r="T210" s="2">
        <f t="shared" si="36"/>
        <v>7.2845002023472286E-2</v>
      </c>
      <c r="U210" s="2">
        <v>1.4635776747018101</v>
      </c>
      <c r="V210" s="2">
        <f t="shared" si="37"/>
        <v>5.3307159337581102E-2</v>
      </c>
      <c r="W210" s="2">
        <v>13.53188327047974</v>
      </c>
      <c r="X210" s="2">
        <f t="shared" si="38"/>
        <v>0.49286503210974369</v>
      </c>
      <c r="Y210" s="2">
        <v>13.43620327208191</v>
      </c>
      <c r="Z210" s="2">
        <f t="shared" si="39"/>
        <v>0.48938012727129576</v>
      </c>
      <c r="AA210">
        <v>2016</v>
      </c>
      <c r="AB210">
        <v>0</v>
      </c>
      <c r="AC210">
        <v>30000000</v>
      </c>
    </row>
    <row r="211" spans="1:29" x14ac:dyDescent="0.2">
      <c r="A211">
        <v>1376</v>
      </c>
      <c r="B211" t="s">
        <v>103</v>
      </c>
      <c r="C211">
        <v>35</v>
      </c>
      <c r="D211">
        <v>3065</v>
      </c>
      <c r="E211">
        <v>5</v>
      </c>
      <c r="F211" s="2">
        <f t="shared" si="30"/>
        <v>0.14681892332789559</v>
      </c>
      <c r="G211" s="2">
        <v>3.081645205616951</v>
      </c>
      <c r="H211" s="2">
        <f t="shared" si="31"/>
        <v>9.0488766233450424E-2</v>
      </c>
      <c r="I211">
        <v>1</v>
      </c>
      <c r="J211" s="2">
        <f t="shared" si="32"/>
        <v>2.936378466557912E-2</v>
      </c>
      <c r="K211" s="2">
        <v>0.30926779191941017</v>
      </c>
      <c r="L211" s="2">
        <f t="shared" si="33"/>
        <v>9.0812728459206907E-3</v>
      </c>
      <c r="M211">
        <v>17</v>
      </c>
      <c r="N211" s="2">
        <f t="shared" si="34"/>
        <v>0.49918433931484502</v>
      </c>
      <c r="O211">
        <v>8</v>
      </c>
      <c r="P211" s="2">
        <f t="shared" si="35"/>
        <v>0.23491027732463296</v>
      </c>
      <c r="Q211" s="3" t="s">
        <v>224</v>
      </c>
      <c r="R211" t="s">
        <v>102</v>
      </c>
      <c r="S211">
        <v>5</v>
      </c>
      <c r="T211" s="2">
        <f t="shared" si="36"/>
        <v>0.14681892332789559</v>
      </c>
      <c r="U211" s="2">
        <v>3.081645205616951</v>
      </c>
      <c r="V211" s="2">
        <f t="shared" si="37"/>
        <v>9.0488766233450424E-2</v>
      </c>
      <c r="W211" s="2">
        <v>14.11656842567027</v>
      </c>
      <c r="X211" s="2">
        <f t="shared" si="38"/>
        <v>0.41451587546829505</v>
      </c>
      <c r="Y211" s="2">
        <v>13.863199362531301</v>
      </c>
      <c r="Z211" s="2">
        <f t="shared" si="39"/>
        <v>0.40707600085736284</v>
      </c>
      <c r="AA211">
        <v>2017</v>
      </c>
      <c r="AB211">
        <v>0</v>
      </c>
      <c r="AC211">
        <v>60000000</v>
      </c>
    </row>
    <row r="212" spans="1:29" x14ac:dyDescent="0.2">
      <c r="A212">
        <v>1376</v>
      </c>
      <c r="B212" t="s">
        <v>103</v>
      </c>
      <c r="C212">
        <v>35</v>
      </c>
      <c r="D212">
        <v>3137</v>
      </c>
      <c r="E212">
        <v>2</v>
      </c>
      <c r="F212" s="2">
        <f t="shared" si="30"/>
        <v>5.7379662097545421E-2</v>
      </c>
      <c r="G212" s="2">
        <v>3.0728678964078422</v>
      </c>
      <c r="H212" s="2">
        <f t="shared" si="31"/>
        <v>8.8160060783138594E-2</v>
      </c>
      <c r="I212">
        <v>2</v>
      </c>
      <c r="J212" s="2">
        <f t="shared" si="32"/>
        <v>5.7379662097545421E-2</v>
      </c>
      <c r="K212" s="2">
        <v>0.32859049923717981</v>
      </c>
      <c r="L212" s="2">
        <f t="shared" si="33"/>
        <v>9.4272059073465687E-3</v>
      </c>
      <c r="M212">
        <v>19</v>
      </c>
      <c r="N212" s="2">
        <f t="shared" si="34"/>
        <v>0.54510678992668149</v>
      </c>
      <c r="O212">
        <v>8</v>
      </c>
      <c r="P212" s="2">
        <f t="shared" si="35"/>
        <v>0.22951864839018168</v>
      </c>
      <c r="Q212" s="3" t="s">
        <v>224</v>
      </c>
      <c r="R212" t="s">
        <v>102</v>
      </c>
      <c r="S212">
        <v>2</v>
      </c>
      <c r="T212" s="2">
        <f t="shared" si="36"/>
        <v>5.7379662097545421E-2</v>
      </c>
      <c r="U212" s="2">
        <v>3.0728678964078422</v>
      </c>
      <c r="V212" s="2">
        <f t="shared" si="37"/>
        <v>8.8160060783138594E-2</v>
      </c>
      <c r="W212" s="2">
        <v>17.302078895270821</v>
      </c>
      <c r="X212" s="2">
        <f t="shared" si="38"/>
        <v>0.49639372029785589</v>
      </c>
      <c r="Y212" s="2">
        <v>16.89490687102079</v>
      </c>
      <c r="Z212" s="2">
        <f t="shared" si="39"/>
        <v>0.48471202371433569</v>
      </c>
      <c r="AA212">
        <v>2018</v>
      </c>
      <c r="AB212">
        <v>1</v>
      </c>
      <c r="AC212">
        <v>75000000</v>
      </c>
    </row>
    <row r="213" spans="1:29" x14ac:dyDescent="0.2">
      <c r="A213">
        <v>1376</v>
      </c>
      <c r="B213" t="s">
        <v>103</v>
      </c>
      <c r="C213">
        <v>25</v>
      </c>
      <c r="D213">
        <v>2110</v>
      </c>
      <c r="E213">
        <v>0</v>
      </c>
      <c r="F213" s="2">
        <f t="shared" si="30"/>
        <v>0</v>
      </c>
      <c r="G213" s="2">
        <v>0.78507958818227053</v>
      </c>
      <c r="H213" s="2">
        <f t="shared" si="31"/>
        <v>3.3486807078864624E-2</v>
      </c>
      <c r="I213">
        <v>0</v>
      </c>
      <c r="J213" s="2">
        <f t="shared" si="32"/>
        <v>0</v>
      </c>
      <c r="K213" s="2">
        <v>0.43537040846422309</v>
      </c>
      <c r="L213" s="2">
        <f t="shared" si="33"/>
        <v>1.8570301782834159E-2</v>
      </c>
      <c r="M213">
        <v>14</v>
      </c>
      <c r="N213" s="2">
        <f t="shared" si="34"/>
        <v>0.59715639810426535</v>
      </c>
      <c r="O213">
        <v>10</v>
      </c>
      <c r="P213" s="2">
        <f t="shared" si="35"/>
        <v>0.42654028436018959</v>
      </c>
      <c r="Q213" s="3" t="s">
        <v>224</v>
      </c>
      <c r="R213" t="s">
        <v>102</v>
      </c>
      <c r="S213">
        <v>0</v>
      </c>
      <c r="T213" s="2">
        <f t="shared" si="36"/>
        <v>0</v>
      </c>
      <c r="U213" s="2">
        <v>0.78507958818227053</v>
      </c>
      <c r="V213" s="2">
        <f t="shared" si="37"/>
        <v>3.3486807078864624E-2</v>
      </c>
      <c r="W213" s="2">
        <v>9.7854473665356636</v>
      </c>
      <c r="X213" s="2">
        <f t="shared" si="38"/>
        <v>0.417388750231379</v>
      </c>
      <c r="Y213" s="2">
        <v>9.4374681338667887</v>
      </c>
      <c r="Z213" s="2">
        <f t="shared" si="39"/>
        <v>0.40254603414597678</v>
      </c>
      <c r="AA213">
        <v>2019</v>
      </c>
      <c r="AB213">
        <v>1</v>
      </c>
      <c r="AC213">
        <v>65000000</v>
      </c>
    </row>
    <row r="214" spans="1:29" x14ac:dyDescent="0.2">
      <c r="A214">
        <v>1379</v>
      </c>
      <c r="B214" t="s">
        <v>104</v>
      </c>
      <c r="C214">
        <v>29</v>
      </c>
      <c r="D214">
        <v>1614</v>
      </c>
      <c r="E214">
        <v>1</v>
      </c>
      <c r="F214" s="2">
        <f t="shared" si="30"/>
        <v>5.5762081784386616E-2</v>
      </c>
      <c r="G214" s="2">
        <v>0.59451710060238838</v>
      </c>
      <c r="H214" s="2">
        <f t="shared" si="31"/>
        <v>3.3151511186006788E-2</v>
      </c>
      <c r="I214">
        <v>6</v>
      </c>
      <c r="J214" s="2">
        <f t="shared" si="32"/>
        <v>0.33457249070631967</v>
      </c>
      <c r="K214" s="2">
        <v>4.6740384306758642</v>
      </c>
      <c r="L214" s="2">
        <f t="shared" si="33"/>
        <v>0.26063411323471358</v>
      </c>
      <c r="M214">
        <v>14</v>
      </c>
      <c r="N214" s="2">
        <f t="shared" si="34"/>
        <v>0.78066914498141271</v>
      </c>
      <c r="O214">
        <v>28</v>
      </c>
      <c r="P214" s="2">
        <f t="shared" si="35"/>
        <v>1.5613382899628254</v>
      </c>
      <c r="Q214" t="s">
        <v>223</v>
      </c>
      <c r="R214" t="s">
        <v>102</v>
      </c>
      <c r="S214">
        <v>1</v>
      </c>
      <c r="T214" s="2">
        <f t="shared" si="36"/>
        <v>5.5762081784386616E-2</v>
      </c>
      <c r="U214" s="2">
        <v>0.59451710060238838</v>
      </c>
      <c r="V214" s="2">
        <f t="shared" si="37"/>
        <v>3.3151511186006788E-2</v>
      </c>
      <c r="W214" s="2">
        <v>10.84762063249946</v>
      </c>
      <c r="X214" s="2">
        <f t="shared" si="38"/>
        <v>0.60488590887543459</v>
      </c>
      <c r="Y214" s="2">
        <v>9.2009419016540033</v>
      </c>
      <c r="Z214" s="2">
        <f t="shared" si="39"/>
        <v>0.5130636748134203</v>
      </c>
      <c r="AA214">
        <v>2016</v>
      </c>
      <c r="AB214">
        <v>0</v>
      </c>
      <c r="AC214">
        <v>16000000</v>
      </c>
    </row>
    <row r="215" spans="1:29" x14ac:dyDescent="0.2">
      <c r="A215">
        <v>1379</v>
      </c>
      <c r="B215" t="s">
        <v>104</v>
      </c>
      <c r="C215">
        <v>38</v>
      </c>
      <c r="D215">
        <v>2864</v>
      </c>
      <c r="E215">
        <v>4</v>
      </c>
      <c r="F215" s="2">
        <f t="shared" si="30"/>
        <v>0.12569832402234637</v>
      </c>
      <c r="G215" s="2">
        <v>3.966067654080689</v>
      </c>
      <c r="H215" s="2">
        <f t="shared" si="31"/>
        <v>0.1246320142692954</v>
      </c>
      <c r="I215">
        <v>5</v>
      </c>
      <c r="J215" s="2">
        <f t="shared" si="32"/>
        <v>0.15712290502793294</v>
      </c>
      <c r="K215" s="2">
        <v>3.9354642061516638</v>
      </c>
      <c r="L215" s="2">
        <f t="shared" si="33"/>
        <v>0.1236703137407995</v>
      </c>
      <c r="M215">
        <v>37</v>
      </c>
      <c r="N215" s="2">
        <f t="shared" si="34"/>
        <v>1.162709497206704</v>
      </c>
      <c r="O215">
        <v>34</v>
      </c>
      <c r="P215" s="2">
        <f t="shared" si="35"/>
        <v>1.0684357541899441</v>
      </c>
      <c r="Q215" t="s">
        <v>223</v>
      </c>
      <c r="R215" t="s">
        <v>102</v>
      </c>
      <c r="S215">
        <v>4</v>
      </c>
      <c r="T215" s="2">
        <f t="shared" si="36"/>
        <v>0.12569832402234637</v>
      </c>
      <c r="U215" s="2">
        <v>3.966067654080689</v>
      </c>
      <c r="V215" s="2">
        <f t="shared" si="37"/>
        <v>0.1246320142692954</v>
      </c>
      <c r="W215" s="2">
        <v>19.865122311748561</v>
      </c>
      <c r="X215" s="2">
        <f t="shared" si="38"/>
        <v>0.62425314527142817</v>
      </c>
      <c r="Y215" s="2">
        <v>12.77396036870778</v>
      </c>
      <c r="Z215" s="2">
        <f t="shared" si="39"/>
        <v>0.4014163523686104</v>
      </c>
      <c r="AA215">
        <v>2017</v>
      </c>
      <c r="AB215">
        <v>0</v>
      </c>
      <c r="AC215">
        <v>33000000</v>
      </c>
    </row>
    <row r="216" spans="1:29" x14ac:dyDescent="0.2">
      <c r="A216">
        <v>1379</v>
      </c>
      <c r="B216" t="s">
        <v>104</v>
      </c>
      <c r="C216">
        <v>33</v>
      </c>
      <c r="D216">
        <v>2617</v>
      </c>
      <c r="E216">
        <v>1</v>
      </c>
      <c r="F216" s="2">
        <f t="shared" si="30"/>
        <v>3.4390523500191061E-2</v>
      </c>
      <c r="G216" s="2">
        <v>0.92691227700561285</v>
      </c>
      <c r="H216" s="2">
        <f t="shared" si="31"/>
        <v>3.1876998444977135E-2</v>
      </c>
      <c r="I216">
        <v>3</v>
      </c>
      <c r="J216" s="2">
        <f t="shared" si="32"/>
        <v>0.10317157050057317</v>
      </c>
      <c r="K216" s="2">
        <v>2.8518962319940329</v>
      </c>
      <c r="L216" s="2">
        <f t="shared" si="33"/>
        <v>9.8078204386497114E-2</v>
      </c>
      <c r="M216">
        <v>25</v>
      </c>
      <c r="N216" s="2">
        <f t="shared" si="34"/>
        <v>0.85976308750477648</v>
      </c>
      <c r="O216">
        <v>34</v>
      </c>
      <c r="P216" s="2">
        <f t="shared" si="35"/>
        <v>1.169277799006496</v>
      </c>
      <c r="Q216" t="s">
        <v>223</v>
      </c>
      <c r="R216" t="s">
        <v>102</v>
      </c>
      <c r="S216">
        <v>1</v>
      </c>
      <c r="T216" s="2">
        <f t="shared" si="36"/>
        <v>3.4390523500191061E-2</v>
      </c>
      <c r="U216" s="2">
        <v>0.92691227700561285</v>
      </c>
      <c r="V216" s="2">
        <f t="shared" si="37"/>
        <v>3.1876998444977135E-2</v>
      </c>
      <c r="W216" s="2">
        <v>19.160995297133919</v>
      </c>
      <c r="X216" s="2">
        <f t="shared" si="38"/>
        <v>0.65895665905313439</v>
      </c>
      <c r="Y216" s="2">
        <v>16.478003811091181</v>
      </c>
      <c r="Z216" s="2">
        <f t="shared" si="39"/>
        <v>0.56668717730156914</v>
      </c>
      <c r="AA216">
        <v>2018</v>
      </c>
      <c r="AB216">
        <v>1</v>
      </c>
      <c r="AC216">
        <v>60000000</v>
      </c>
    </row>
    <row r="217" spans="1:29" x14ac:dyDescent="0.2">
      <c r="A217">
        <v>1379</v>
      </c>
      <c r="B217" t="s">
        <v>104</v>
      </c>
      <c r="C217">
        <v>23</v>
      </c>
      <c r="D217">
        <v>1287</v>
      </c>
      <c r="E217">
        <v>2</v>
      </c>
      <c r="F217" s="2">
        <f t="shared" si="30"/>
        <v>0.13986013986013987</v>
      </c>
      <c r="G217" s="2">
        <v>0.57169910427182913</v>
      </c>
      <c r="H217" s="2">
        <f t="shared" si="31"/>
        <v>3.9978958340687348E-2</v>
      </c>
      <c r="I217">
        <v>1</v>
      </c>
      <c r="J217" s="2">
        <f t="shared" si="32"/>
        <v>6.9930069930069935E-2</v>
      </c>
      <c r="K217" s="2">
        <v>1.047627117484808</v>
      </c>
      <c r="L217" s="2">
        <f t="shared" si="33"/>
        <v>7.3260637586350208E-2</v>
      </c>
      <c r="M217">
        <v>12</v>
      </c>
      <c r="N217" s="2">
        <f t="shared" si="34"/>
        <v>0.83916083916083917</v>
      </c>
      <c r="O217">
        <v>15</v>
      </c>
      <c r="P217" s="2">
        <f t="shared" si="35"/>
        <v>1.048951048951049</v>
      </c>
      <c r="Q217" t="s">
        <v>223</v>
      </c>
      <c r="R217" t="s">
        <v>102</v>
      </c>
      <c r="S217">
        <v>2</v>
      </c>
      <c r="T217" s="2">
        <f t="shared" si="36"/>
        <v>0.13986013986013987</v>
      </c>
      <c r="U217" s="2">
        <v>0.57169910427182913</v>
      </c>
      <c r="V217" s="2">
        <f t="shared" si="37"/>
        <v>3.9978958340687348E-2</v>
      </c>
      <c r="W217" s="2">
        <v>3.8542500883340831</v>
      </c>
      <c r="X217" s="2">
        <f t="shared" si="38"/>
        <v>0.26952797820518065</v>
      </c>
      <c r="Y217" s="2">
        <v>2.7757155075669289</v>
      </c>
      <c r="Z217" s="2">
        <f t="shared" si="39"/>
        <v>0.19410597955013487</v>
      </c>
      <c r="AA217">
        <v>2019</v>
      </c>
      <c r="AB217">
        <v>1</v>
      </c>
      <c r="AC217">
        <v>28000000</v>
      </c>
    </row>
    <row r="218" spans="1:29" x14ac:dyDescent="0.2">
      <c r="A218">
        <v>1382</v>
      </c>
      <c r="B218" t="s">
        <v>105</v>
      </c>
      <c r="C218">
        <v>37</v>
      </c>
      <c r="D218">
        <v>3151</v>
      </c>
      <c r="E218">
        <v>14</v>
      </c>
      <c r="F218" s="2">
        <f t="shared" si="30"/>
        <v>0.39987305617264363</v>
      </c>
      <c r="G218" s="2">
        <v>12.50654892623424</v>
      </c>
      <c r="H218" s="2">
        <f t="shared" si="31"/>
        <v>0.35721656723614142</v>
      </c>
      <c r="I218">
        <v>12</v>
      </c>
      <c r="J218" s="2">
        <f t="shared" si="32"/>
        <v>0.34274833386226594</v>
      </c>
      <c r="K218" s="2">
        <v>9.2061897395178676</v>
      </c>
      <c r="L218" s="2">
        <f t="shared" si="33"/>
        <v>0.26295051620330312</v>
      </c>
      <c r="M218">
        <v>86</v>
      </c>
      <c r="N218" s="2">
        <f t="shared" si="34"/>
        <v>2.4563630593462396</v>
      </c>
      <c r="O218">
        <v>76</v>
      </c>
      <c r="P218" s="2">
        <f t="shared" si="35"/>
        <v>2.1707394477943511</v>
      </c>
      <c r="Q218" t="s">
        <v>222</v>
      </c>
      <c r="R218" t="s">
        <v>102</v>
      </c>
      <c r="S218">
        <v>14</v>
      </c>
      <c r="T218" s="2">
        <f t="shared" si="36"/>
        <v>0.39987305617264363</v>
      </c>
      <c r="U218" s="2">
        <v>12.50654892623424</v>
      </c>
      <c r="V218" s="2">
        <f t="shared" si="37"/>
        <v>0.35721656723614142</v>
      </c>
      <c r="W218" s="2">
        <v>29.337498541921381</v>
      </c>
      <c r="X218" s="2">
        <f t="shared" si="38"/>
        <v>0.83794822874418418</v>
      </c>
      <c r="Y218" s="2">
        <v>10.370100121945139</v>
      </c>
      <c r="Z218" s="2">
        <f t="shared" si="39"/>
        <v>0.29619454489846475</v>
      </c>
      <c r="AA218">
        <v>2016</v>
      </c>
      <c r="AB218">
        <v>0</v>
      </c>
      <c r="AC218">
        <v>25000000</v>
      </c>
    </row>
    <row r="219" spans="1:29" x14ac:dyDescent="0.2">
      <c r="A219">
        <v>1382</v>
      </c>
      <c r="B219" t="s">
        <v>105</v>
      </c>
      <c r="C219">
        <v>38</v>
      </c>
      <c r="D219">
        <v>3269</v>
      </c>
      <c r="E219">
        <v>10</v>
      </c>
      <c r="F219" s="2">
        <f t="shared" si="30"/>
        <v>0.27531355154481491</v>
      </c>
      <c r="G219" s="2">
        <v>10.090287003666161</v>
      </c>
      <c r="H219" s="2">
        <f t="shared" si="31"/>
        <v>0.27779927510858199</v>
      </c>
      <c r="I219">
        <v>10</v>
      </c>
      <c r="J219" s="2">
        <f t="shared" si="32"/>
        <v>0.27531355154481491</v>
      </c>
      <c r="K219" s="2">
        <v>7.8346629915758967</v>
      </c>
      <c r="L219" s="2">
        <f t="shared" si="33"/>
        <v>0.21569888933674844</v>
      </c>
      <c r="M219">
        <v>64</v>
      </c>
      <c r="N219" s="2">
        <f t="shared" si="34"/>
        <v>1.7620067298868156</v>
      </c>
      <c r="O219">
        <v>73</v>
      </c>
      <c r="P219" s="2">
        <f t="shared" si="35"/>
        <v>2.0097889262771491</v>
      </c>
      <c r="Q219" t="s">
        <v>222</v>
      </c>
      <c r="R219" t="s">
        <v>102</v>
      </c>
      <c r="S219">
        <v>10</v>
      </c>
      <c r="T219" s="2">
        <f t="shared" si="36"/>
        <v>0.27531355154481491</v>
      </c>
      <c r="U219" s="2">
        <v>10.090287003666161</v>
      </c>
      <c r="V219" s="2">
        <f t="shared" si="37"/>
        <v>0.27779927510858199</v>
      </c>
      <c r="W219" s="2">
        <v>24.69322253018618</v>
      </c>
      <c r="X219" s="2">
        <f t="shared" si="38"/>
        <v>0.67983787938719986</v>
      </c>
      <c r="Y219" s="2">
        <v>10.660414174199101</v>
      </c>
      <c r="Z219" s="2">
        <f t="shared" si="39"/>
        <v>0.29349564872374401</v>
      </c>
      <c r="AA219">
        <v>2017</v>
      </c>
      <c r="AB219">
        <v>0</v>
      </c>
      <c r="AC219">
        <v>24000000</v>
      </c>
    </row>
    <row r="220" spans="1:29" x14ac:dyDescent="0.2">
      <c r="A220">
        <v>1382</v>
      </c>
      <c r="B220" t="s">
        <v>105</v>
      </c>
      <c r="C220">
        <v>34</v>
      </c>
      <c r="D220">
        <v>2657</v>
      </c>
      <c r="E220">
        <v>3</v>
      </c>
      <c r="F220" s="2">
        <f t="shared" si="30"/>
        <v>0.10161836657884832</v>
      </c>
      <c r="G220" s="2">
        <v>6.7610981035977602</v>
      </c>
      <c r="H220" s="2">
        <f t="shared" si="31"/>
        <v>0.22901724852231781</v>
      </c>
      <c r="I220">
        <v>10</v>
      </c>
      <c r="J220" s="2">
        <f t="shared" si="32"/>
        <v>0.33872788859616104</v>
      </c>
      <c r="K220" s="2">
        <v>9.296022167429328</v>
      </c>
      <c r="L220" s="2">
        <f t="shared" si="33"/>
        <v>0.31488219611164453</v>
      </c>
      <c r="M220">
        <v>61</v>
      </c>
      <c r="N220" s="2">
        <f t="shared" si="34"/>
        <v>2.0662401204365826</v>
      </c>
      <c r="O220">
        <v>72</v>
      </c>
      <c r="P220" s="2">
        <f t="shared" si="35"/>
        <v>2.4388407978923601</v>
      </c>
      <c r="Q220" t="s">
        <v>222</v>
      </c>
      <c r="R220" t="s">
        <v>102</v>
      </c>
      <c r="S220">
        <v>3</v>
      </c>
      <c r="T220" s="2">
        <f t="shared" si="36"/>
        <v>0.10161836657884832</v>
      </c>
      <c r="U220" s="2">
        <v>6.7610981035977602</v>
      </c>
      <c r="V220" s="2">
        <f t="shared" si="37"/>
        <v>0.22901724852231781</v>
      </c>
      <c r="W220" s="2">
        <v>25.12723350524902</v>
      </c>
      <c r="X220" s="2">
        <f t="shared" si="38"/>
        <v>0.8511294751495716</v>
      </c>
      <c r="Y220" s="2">
        <v>12.69762592762709</v>
      </c>
      <c r="Z220" s="2">
        <f t="shared" si="39"/>
        <v>0.43010400206489957</v>
      </c>
      <c r="AA220">
        <v>2018</v>
      </c>
      <c r="AB220">
        <v>1</v>
      </c>
      <c r="AC220">
        <v>20000000</v>
      </c>
    </row>
    <row r="221" spans="1:29" x14ac:dyDescent="0.2">
      <c r="A221">
        <v>1382</v>
      </c>
      <c r="B221" t="s">
        <v>105</v>
      </c>
      <c r="C221">
        <v>33</v>
      </c>
      <c r="D221">
        <v>2180</v>
      </c>
      <c r="E221">
        <v>4</v>
      </c>
      <c r="F221" s="2">
        <f t="shared" si="30"/>
        <v>0.16513761467889909</v>
      </c>
      <c r="G221" s="2">
        <v>5.4250431675463906</v>
      </c>
      <c r="H221" s="2">
        <f t="shared" si="31"/>
        <v>0.2239696720546675</v>
      </c>
      <c r="I221">
        <v>7</v>
      </c>
      <c r="J221" s="2">
        <f t="shared" si="32"/>
        <v>0.28899082568807344</v>
      </c>
      <c r="K221" s="2">
        <v>6.2257410101592541</v>
      </c>
      <c r="L221" s="2">
        <f t="shared" si="33"/>
        <v>0.25702600500657469</v>
      </c>
      <c r="M221">
        <v>42</v>
      </c>
      <c r="N221" s="2">
        <f t="shared" si="34"/>
        <v>1.7339449541284404</v>
      </c>
      <c r="O221">
        <v>63</v>
      </c>
      <c r="P221" s="2">
        <f t="shared" si="35"/>
        <v>2.6009174311926606</v>
      </c>
      <c r="Q221" t="s">
        <v>222</v>
      </c>
      <c r="R221" t="s">
        <v>102</v>
      </c>
      <c r="S221">
        <v>4</v>
      </c>
      <c r="T221" s="2">
        <f t="shared" si="36"/>
        <v>0.16513761467889909</v>
      </c>
      <c r="U221" s="2">
        <v>5.4250431675463906</v>
      </c>
      <c r="V221" s="2">
        <f t="shared" si="37"/>
        <v>0.2239696720546675</v>
      </c>
      <c r="W221" s="2">
        <v>14.938508044928311</v>
      </c>
      <c r="X221" s="2">
        <f t="shared" si="38"/>
        <v>0.61672739635025131</v>
      </c>
      <c r="Y221" s="2">
        <v>7.3793031275272369</v>
      </c>
      <c r="Z221" s="2">
        <f t="shared" si="39"/>
        <v>0.30465012911809697</v>
      </c>
      <c r="AA221">
        <v>2019</v>
      </c>
      <c r="AB221">
        <v>1</v>
      </c>
      <c r="AC221">
        <v>7500000</v>
      </c>
    </row>
    <row r="222" spans="1:29" x14ac:dyDescent="0.2">
      <c r="A222">
        <v>1384</v>
      </c>
      <c r="B222" t="s">
        <v>106</v>
      </c>
      <c r="C222">
        <v>35</v>
      </c>
      <c r="D222">
        <v>2573</v>
      </c>
      <c r="E222">
        <v>28</v>
      </c>
      <c r="F222" s="2">
        <f t="shared" si="30"/>
        <v>0.97940147687524282</v>
      </c>
      <c r="G222" s="2">
        <v>25.144421741366379</v>
      </c>
      <c r="H222" s="2">
        <f t="shared" si="31"/>
        <v>0.87951727816672143</v>
      </c>
      <c r="I222">
        <v>9</v>
      </c>
      <c r="J222" s="2">
        <f t="shared" si="32"/>
        <v>0.31480761756704234</v>
      </c>
      <c r="K222" s="2">
        <v>8.1047355374321342</v>
      </c>
      <c r="L222" s="2">
        <f t="shared" si="33"/>
        <v>0.28349249839443919</v>
      </c>
      <c r="M222">
        <v>148</v>
      </c>
      <c r="N222" s="2">
        <f t="shared" si="34"/>
        <v>5.1768363777691411</v>
      </c>
      <c r="O222">
        <v>57</v>
      </c>
      <c r="P222" s="2">
        <f t="shared" si="35"/>
        <v>1.9937815779246018</v>
      </c>
      <c r="Q222" t="s">
        <v>222</v>
      </c>
      <c r="R222" t="s">
        <v>102</v>
      </c>
      <c r="S222">
        <v>26</v>
      </c>
      <c r="T222" s="2">
        <f t="shared" si="36"/>
        <v>0.90944422852701123</v>
      </c>
      <c r="U222" s="2">
        <v>22.860522627830509</v>
      </c>
      <c r="V222" s="2">
        <f t="shared" si="37"/>
        <v>0.79962962942275395</v>
      </c>
      <c r="W222" s="2">
        <v>37.670811966061592</v>
      </c>
      <c r="X222" s="2">
        <f t="shared" si="38"/>
        <v>1.3176731740946535</v>
      </c>
      <c r="Y222" s="2">
        <v>11.753045322373509</v>
      </c>
      <c r="Z222" s="2">
        <f t="shared" si="39"/>
        <v>0.41110535523265285</v>
      </c>
      <c r="AA222">
        <v>2016</v>
      </c>
      <c r="AB222">
        <v>0</v>
      </c>
      <c r="AC222">
        <v>28000000</v>
      </c>
    </row>
    <row r="223" spans="1:29" x14ac:dyDescent="0.2">
      <c r="A223">
        <v>1384</v>
      </c>
      <c r="B223" t="s">
        <v>106</v>
      </c>
      <c r="C223">
        <v>38</v>
      </c>
      <c r="D223">
        <v>3026</v>
      </c>
      <c r="E223">
        <v>18</v>
      </c>
      <c r="F223" s="2">
        <f t="shared" si="30"/>
        <v>0.53536021150033042</v>
      </c>
      <c r="G223" s="2">
        <v>18.789532698690891</v>
      </c>
      <c r="H223" s="2">
        <f t="shared" si="31"/>
        <v>0.55884267775352947</v>
      </c>
      <c r="I223">
        <v>6</v>
      </c>
      <c r="J223" s="2">
        <f t="shared" si="32"/>
        <v>0.17845340383344349</v>
      </c>
      <c r="K223" s="2">
        <v>7.5255344845354557</v>
      </c>
      <c r="L223" s="2">
        <f t="shared" si="33"/>
        <v>0.22382620740521847</v>
      </c>
      <c r="M223">
        <v>128</v>
      </c>
      <c r="N223" s="2">
        <f t="shared" si="34"/>
        <v>3.8070059484467942</v>
      </c>
      <c r="O223">
        <v>59</v>
      </c>
      <c r="P223" s="2">
        <f t="shared" si="35"/>
        <v>1.7547918043621944</v>
      </c>
      <c r="Q223" t="s">
        <v>222</v>
      </c>
      <c r="R223" t="s">
        <v>102</v>
      </c>
      <c r="S223">
        <v>14</v>
      </c>
      <c r="T223" s="2">
        <f t="shared" si="36"/>
        <v>0.41639127561136818</v>
      </c>
      <c r="U223" s="2">
        <v>14.9830437079072</v>
      </c>
      <c r="V223" s="2">
        <f t="shared" si="37"/>
        <v>0.44562919157688302</v>
      </c>
      <c r="W223" s="2">
        <v>26.602139268070459</v>
      </c>
      <c r="X223" s="2">
        <f t="shared" si="38"/>
        <v>0.79120705027308047</v>
      </c>
      <c r="Y223" s="2">
        <v>9.0925470748916286</v>
      </c>
      <c r="Z223" s="2">
        <f t="shared" si="39"/>
        <v>0.27043266250503856</v>
      </c>
      <c r="AA223">
        <v>2017</v>
      </c>
      <c r="AB223">
        <v>0</v>
      </c>
      <c r="AC223">
        <v>30000000</v>
      </c>
    </row>
    <row r="224" spans="1:29" x14ac:dyDescent="0.2">
      <c r="A224">
        <v>1384</v>
      </c>
      <c r="B224" t="s">
        <v>106</v>
      </c>
      <c r="C224">
        <v>35</v>
      </c>
      <c r="D224">
        <v>2245</v>
      </c>
      <c r="E224">
        <v>16</v>
      </c>
      <c r="F224" s="2">
        <f t="shared" si="30"/>
        <v>0.64142538975501118</v>
      </c>
      <c r="G224" s="2">
        <v>12.375787785276771</v>
      </c>
      <c r="H224" s="2">
        <f t="shared" si="31"/>
        <v>0.49613403148102869</v>
      </c>
      <c r="I224">
        <v>11</v>
      </c>
      <c r="J224" s="2">
        <f t="shared" si="32"/>
        <v>0.44097995545657015</v>
      </c>
      <c r="K224" s="2">
        <v>9.3948792312294245</v>
      </c>
      <c r="L224" s="2">
        <f t="shared" si="33"/>
        <v>0.37663212953703712</v>
      </c>
      <c r="M224">
        <v>89</v>
      </c>
      <c r="N224" s="2">
        <f t="shared" si="34"/>
        <v>3.5679287305122496</v>
      </c>
      <c r="O224">
        <v>70</v>
      </c>
      <c r="P224" s="2">
        <f t="shared" si="35"/>
        <v>2.8062360801781736</v>
      </c>
      <c r="Q224" t="s">
        <v>222</v>
      </c>
      <c r="R224" t="s">
        <v>102</v>
      </c>
      <c r="S224">
        <v>15</v>
      </c>
      <c r="T224" s="2">
        <f t="shared" si="36"/>
        <v>0.60133630289532292</v>
      </c>
      <c r="U224" s="2">
        <v>11.614489169791341</v>
      </c>
      <c r="V224" s="2">
        <f t="shared" si="37"/>
        <v>0.46561426515867294</v>
      </c>
      <c r="W224" s="2">
        <v>24.529846111312509</v>
      </c>
      <c r="X224" s="2">
        <f t="shared" si="38"/>
        <v>0.98337913141119182</v>
      </c>
      <c r="Y224" s="2">
        <v>8.040113627910614</v>
      </c>
      <c r="Z224" s="2">
        <f t="shared" si="39"/>
        <v>0.3223208135910714</v>
      </c>
      <c r="AA224">
        <v>2018</v>
      </c>
      <c r="AB224">
        <v>1</v>
      </c>
      <c r="AC224">
        <v>25000000</v>
      </c>
    </row>
    <row r="225" spans="1:29" x14ac:dyDescent="0.2">
      <c r="A225">
        <v>1384</v>
      </c>
      <c r="B225" t="s">
        <v>106</v>
      </c>
      <c r="C225">
        <v>31</v>
      </c>
      <c r="D225">
        <v>1688</v>
      </c>
      <c r="E225">
        <v>9</v>
      </c>
      <c r="F225" s="2">
        <f t="shared" si="30"/>
        <v>0.47985781990521331</v>
      </c>
      <c r="G225" s="2">
        <v>6.4543902976438403</v>
      </c>
      <c r="H225" s="2">
        <f t="shared" si="31"/>
        <v>0.34413218411608154</v>
      </c>
      <c r="I225">
        <v>7</v>
      </c>
      <c r="J225" s="2">
        <f t="shared" si="32"/>
        <v>0.37322274881516593</v>
      </c>
      <c r="K225" s="2">
        <v>5.9161144038662314</v>
      </c>
      <c r="L225" s="2">
        <f t="shared" si="33"/>
        <v>0.31543264001656451</v>
      </c>
      <c r="M225">
        <v>75</v>
      </c>
      <c r="N225" s="2">
        <f t="shared" si="34"/>
        <v>3.9988151658767772</v>
      </c>
      <c r="O225">
        <v>53</v>
      </c>
      <c r="P225" s="2">
        <f t="shared" si="35"/>
        <v>2.8258293838862558</v>
      </c>
      <c r="Q225" t="s">
        <v>222</v>
      </c>
      <c r="R225" t="s">
        <v>102</v>
      </c>
      <c r="S225">
        <v>9</v>
      </c>
      <c r="T225" s="2">
        <f t="shared" si="36"/>
        <v>0.47985781990521331</v>
      </c>
      <c r="U225" s="2">
        <v>6.4543902976438403</v>
      </c>
      <c r="V225" s="2">
        <f t="shared" si="37"/>
        <v>0.34413218411608154</v>
      </c>
      <c r="W225" s="2">
        <v>14.29087935294956</v>
      </c>
      <c r="X225" s="2">
        <f t="shared" si="38"/>
        <v>0.76195446787053345</v>
      </c>
      <c r="Y225" s="2">
        <v>4.1906929109245539</v>
      </c>
      <c r="Z225" s="2">
        <f t="shared" si="39"/>
        <v>0.22343741823649871</v>
      </c>
      <c r="AA225">
        <v>2019</v>
      </c>
      <c r="AB225">
        <v>1</v>
      </c>
      <c r="AC225">
        <v>18000000</v>
      </c>
    </row>
    <row r="226" spans="1:29" x14ac:dyDescent="0.2">
      <c r="A226">
        <v>1386</v>
      </c>
      <c r="B226" t="s">
        <v>107</v>
      </c>
      <c r="C226">
        <v>36</v>
      </c>
      <c r="D226">
        <v>1851</v>
      </c>
      <c r="E226">
        <v>5</v>
      </c>
      <c r="F226" s="2">
        <f t="shared" si="30"/>
        <v>0.24311183144246354</v>
      </c>
      <c r="G226" s="2">
        <v>1.4662819039076569</v>
      </c>
      <c r="H226" s="2">
        <f t="shared" si="31"/>
        <v>7.129409581398656E-2</v>
      </c>
      <c r="I226">
        <v>7</v>
      </c>
      <c r="J226" s="2">
        <f t="shared" si="32"/>
        <v>0.34035656401944897</v>
      </c>
      <c r="K226" s="2">
        <v>3.345994770526886</v>
      </c>
      <c r="L226" s="2">
        <f t="shared" si="33"/>
        <v>0.16269018333193935</v>
      </c>
      <c r="M226">
        <v>31</v>
      </c>
      <c r="N226" s="2">
        <f t="shared" si="34"/>
        <v>1.5072933549432739</v>
      </c>
      <c r="O226">
        <v>38</v>
      </c>
      <c r="P226" s="2">
        <f t="shared" si="35"/>
        <v>1.8476499189627227</v>
      </c>
      <c r="Q226" t="s">
        <v>223</v>
      </c>
      <c r="R226" t="s">
        <v>102</v>
      </c>
      <c r="S226">
        <v>5</v>
      </c>
      <c r="T226" s="2">
        <f t="shared" si="36"/>
        <v>0.24311183144246354</v>
      </c>
      <c r="U226" s="2">
        <v>1.4662819039076569</v>
      </c>
      <c r="V226" s="2">
        <f t="shared" si="37"/>
        <v>7.129409581398656E-2</v>
      </c>
      <c r="W226" s="2">
        <v>11.53971474431455</v>
      </c>
      <c r="X226" s="2">
        <f t="shared" si="38"/>
        <v>0.561088237162782</v>
      </c>
      <c r="Y226" s="2">
        <v>7.7608178313821554</v>
      </c>
      <c r="Z226" s="2">
        <f t="shared" si="39"/>
        <v>0.37734932729572884</v>
      </c>
      <c r="AA226">
        <v>2016</v>
      </c>
      <c r="AB226">
        <v>0</v>
      </c>
      <c r="AC226">
        <v>20000000</v>
      </c>
    </row>
    <row r="227" spans="1:29" x14ac:dyDescent="0.2">
      <c r="A227">
        <v>1386</v>
      </c>
      <c r="B227" t="s">
        <v>107</v>
      </c>
      <c r="C227">
        <v>36</v>
      </c>
      <c r="D227">
        <v>1637</v>
      </c>
      <c r="E227">
        <v>4</v>
      </c>
      <c r="F227" s="2">
        <f t="shared" si="30"/>
        <v>0.21991447770311545</v>
      </c>
      <c r="G227" s="2">
        <v>2.739103588275611</v>
      </c>
      <c r="H227" s="2">
        <f t="shared" si="31"/>
        <v>0.15059213374759009</v>
      </c>
      <c r="I227">
        <v>2</v>
      </c>
      <c r="J227" s="2">
        <f t="shared" si="32"/>
        <v>0.10995723885155773</v>
      </c>
      <c r="K227" s="2">
        <v>3.1046180799603462</v>
      </c>
      <c r="L227" s="2">
        <f t="shared" si="33"/>
        <v>0.17068761588053216</v>
      </c>
      <c r="M227">
        <v>38</v>
      </c>
      <c r="N227" s="2">
        <f t="shared" si="34"/>
        <v>2.0891875381795968</v>
      </c>
      <c r="O227">
        <v>37</v>
      </c>
      <c r="P227" s="2">
        <f t="shared" si="35"/>
        <v>2.0342089187538179</v>
      </c>
      <c r="Q227" t="s">
        <v>223</v>
      </c>
      <c r="R227" t="s">
        <v>102</v>
      </c>
      <c r="S227">
        <v>4</v>
      </c>
      <c r="T227" s="2">
        <f t="shared" si="36"/>
        <v>0.21991447770311545</v>
      </c>
      <c r="U227" s="2">
        <v>2.739103588275611</v>
      </c>
      <c r="V227" s="2">
        <f t="shared" si="37"/>
        <v>0.15059213374759009</v>
      </c>
      <c r="W227" s="2">
        <v>11.91490763239562</v>
      </c>
      <c r="X227" s="2">
        <f t="shared" si="38"/>
        <v>0.65506517221478666</v>
      </c>
      <c r="Y227" s="2">
        <v>7.8425363916903734</v>
      </c>
      <c r="Z227" s="2">
        <f t="shared" si="39"/>
        <v>0.43117182361156603</v>
      </c>
      <c r="AA227">
        <v>2017</v>
      </c>
      <c r="AB227">
        <v>0</v>
      </c>
      <c r="AC227">
        <v>32000000</v>
      </c>
    </row>
    <row r="228" spans="1:29" x14ac:dyDescent="0.2">
      <c r="A228">
        <v>1386</v>
      </c>
      <c r="B228" t="s">
        <v>107</v>
      </c>
      <c r="C228">
        <v>36</v>
      </c>
      <c r="D228">
        <v>2895</v>
      </c>
      <c r="E228">
        <v>6</v>
      </c>
      <c r="F228" s="2">
        <f t="shared" si="30"/>
        <v>0.18652849740932642</v>
      </c>
      <c r="G228" s="2">
        <v>5.6758581046015024</v>
      </c>
      <c r="H228" s="2">
        <f t="shared" si="31"/>
        <v>0.17645154729331095</v>
      </c>
      <c r="I228">
        <v>2</v>
      </c>
      <c r="J228" s="2">
        <f t="shared" si="32"/>
        <v>6.2176165803108807E-2</v>
      </c>
      <c r="K228" s="2">
        <v>5.6522768177092084</v>
      </c>
      <c r="L228" s="2">
        <f t="shared" si="33"/>
        <v>0.17571845029147798</v>
      </c>
      <c r="M228">
        <v>80</v>
      </c>
      <c r="N228" s="2">
        <f t="shared" si="34"/>
        <v>2.4870466321243523</v>
      </c>
      <c r="O228">
        <v>58</v>
      </c>
      <c r="P228" s="2">
        <f t="shared" si="35"/>
        <v>1.8031088082901554</v>
      </c>
      <c r="Q228" t="s">
        <v>223</v>
      </c>
      <c r="R228" t="s">
        <v>102</v>
      </c>
      <c r="S228">
        <v>6</v>
      </c>
      <c r="T228" s="2">
        <f t="shared" si="36"/>
        <v>0.18652849740932642</v>
      </c>
      <c r="U228" s="2">
        <v>5.6758581046015024</v>
      </c>
      <c r="V228" s="2">
        <f t="shared" si="37"/>
        <v>0.17645154729331095</v>
      </c>
      <c r="W228" s="2">
        <v>19.5520846657455</v>
      </c>
      <c r="X228" s="2">
        <f t="shared" si="38"/>
        <v>0.60783682898690672</v>
      </c>
      <c r="Y228" s="2">
        <v>11.584759781137111</v>
      </c>
      <c r="Z228" s="2">
        <f t="shared" si="39"/>
        <v>0.36014797247058372</v>
      </c>
      <c r="AA228">
        <v>2018</v>
      </c>
      <c r="AB228">
        <v>1</v>
      </c>
      <c r="AC228">
        <v>40000000</v>
      </c>
    </row>
    <row r="229" spans="1:29" x14ac:dyDescent="0.2">
      <c r="A229">
        <v>1386</v>
      </c>
      <c r="B229" t="s">
        <v>107</v>
      </c>
      <c r="C229">
        <v>37</v>
      </c>
      <c r="D229">
        <v>2934</v>
      </c>
      <c r="E229">
        <v>2</v>
      </c>
      <c r="F229" s="2">
        <f t="shared" si="30"/>
        <v>6.1349693251533742E-2</v>
      </c>
      <c r="G229" s="2">
        <v>4.0206734901294112</v>
      </c>
      <c r="H229" s="2">
        <f t="shared" si="31"/>
        <v>0.12333354264200648</v>
      </c>
      <c r="I229">
        <v>4</v>
      </c>
      <c r="J229" s="2">
        <f t="shared" si="32"/>
        <v>0.12269938650306748</v>
      </c>
      <c r="K229" s="2">
        <v>4.0580900525674224</v>
      </c>
      <c r="L229" s="2">
        <f t="shared" si="33"/>
        <v>0.12448128995605591</v>
      </c>
      <c r="M229">
        <v>78</v>
      </c>
      <c r="N229" s="2">
        <f t="shared" si="34"/>
        <v>2.3926380368098159</v>
      </c>
      <c r="O229">
        <v>53</v>
      </c>
      <c r="P229" s="2">
        <f t="shared" si="35"/>
        <v>1.6257668711656443</v>
      </c>
      <c r="Q229" t="s">
        <v>223</v>
      </c>
      <c r="R229" t="s">
        <v>102</v>
      </c>
      <c r="S229">
        <v>2</v>
      </c>
      <c r="T229" s="2">
        <f t="shared" si="36"/>
        <v>6.1349693251533742E-2</v>
      </c>
      <c r="U229" s="2">
        <v>4.0206734901294112</v>
      </c>
      <c r="V229" s="2">
        <f t="shared" si="37"/>
        <v>0.12333354264200648</v>
      </c>
      <c r="W229" s="2">
        <v>20.254077753052119</v>
      </c>
      <c r="X229" s="2">
        <f t="shared" si="38"/>
        <v>0.62129072862123069</v>
      </c>
      <c r="Y229" s="2">
        <v>14.875061091035599</v>
      </c>
      <c r="Z229" s="2">
        <f t="shared" si="39"/>
        <v>0.45629021751642945</v>
      </c>
      <c r="AA229">
        <v>2019</v>
      </c>
      <c r="AB229">
        <v>1</v>
      </c>
      <c r="AC229">
        <v>35000000</v>
      </c>
    </row>
    <row r="230" spans="1:29" x14ac:dyDescent="0.2">
      <c r="A230">
        <v>1393</v>
      </c>
      <c r="B230" t="s">
        <v>108</v>
      </c>
      <c r="C230">
        <v>37</v>
      </c>
      <c r="D230">
        <v>2946</v>
      </c>
      <c r="E230">
        <v>18</v>
      </c>
      <c r="F230" s="2">
        <f t="shared" si="30"/>
        <v>0.54989816700610994</v>
      </c>
      <c r="G230" s="2">
        <v>14.79943042807281</v>
      </c>
      <c r="H230" s="2">
        <f t="shared" si="31"/>
        <v>0.45212109250731602</v>
      </c>
      <c r="I230">
        <v>9</v>
      </c>
      <c r="J230" s="2">
        <f t="shared" si="32"/>
        <v>0.27494908350305497</v>
      </c>
      <c r="K230" s="2">
        <v>7.8792796060442916</v>
      </c>
      <c r="L230" s="2">
        <f t="shared" si="33"/>
        <v>0.24071118959402113</v>
      </c>
      <c r="M230">
        <v>147</v>
      </c>
      <c r="N230" s="2">
        <f t="shared" si="34"/>
        <v>4.4908350305498983</v>
      </c>
      <c r="O230">
        <v>66</v>
      </c>
      <c r="P230" s="2">
        <f t="shared" si="35"/>
        <v>2.0162932790224031</v>
      </c>
      <c r="Q230" t="s">
        <v>222</v>
      </c>
      <c r="R230" t="s">
        <v>102</v>
      </c>
      <c r="S230">
        <v>16</v>
      </c>
      <c r="T230" s="2">
        <f t="shared" si="36"/>
        <v>0.48879837067209775</v>
      </c>
      <c r="U230" s="2">
        <v>13.27683540992439</v>
      </c>
      <c r="V230" s="2">
        <f t="shared" si="37"/>
        <v>0.40560596975329094</v>
      </c>
      <c r="W230" s="2">
        <v>33.147989943623543</v>
      </c>
      <c r="X230" s="2">
        <f t="shared" si="38"/>
        <v>1.0126677172186418</v>
      </c>
      <c r="Y230" s="2">
        <v>18.729357041418549</v>
      </c>
      <c r="Z230" s="2">
        <f t="shared" si="39"/>
        <v>0.57217995034883551</v>
      </c>
      <c r="AA230">
        <v>2016</v>
      </c>
      <c r="AB230">
        <v>0</v>
      </c>
      <c r="AC230">
        <v>35000000</v>
      </c>
    </row>
    <row r="231" spans="1:29" x14ac:dyDescent="0.2">
      <c r="A231">
        <v>1393</v>
      </c>
      <c r="B231" t="s">
        <v>108</v>
      </c>
      <c r="C231">
        <v>37</v>
      </c>
      <c r="D231">
        <v>3115</v>
      </c>
      <c r="E231">
        <v>8</v>
      </c>
      <c r="F231" s="2">
        <f t="shared" si="30"/>
        <v>0.23113964686998395</v>
      </c>
      <c r="G231" s="2">
        <v>14.66703347861767</v>
      </c>
      <c r="H231" s="2">
        <f t="shared" si="31"/>
        <v>0.42376661735974003</v>
      </c>
      <c r="I231">
        <v>11</v>
      </c>
      <c r="J231" s="2">
        <f t="shared" si="32"/>
        <v>0.31781701444622795</v>
      </c>
      <c r="K231" s="2">
        <v>12.84045692905784</v>
      </c>
      <c r="L231" s="2">
        <f t="shared" si="33"/>
        <v>0.37099233502895845</v>
      </c>
      <c r="M231">
        <v>177</v>
      </c>
      <c r="N231" s="2">
        <f t="shared" si="34"/>
        <v>5.1139646869983952</v>
      </c>
      <c r="O231">
        <v>103</v>
      </c>
      <c r="P231" s="2">
        <f t="shared" si="35"/>
        <v>2.9759229534510432</v>
      </c>
      <c r="Q231" t="s">
        <v>222</v>
      </c>
      <c r="R231" t="s">
        <v>102</v>
      </c>
      <c r="S231">
        <v>7</v>
      </c>
      <c r="T231" s="2">
        <f t="shared" si="36"/>
        <v>0.20224719101123598</v>
      </c>
      <c r="U231" s="2">
        <v>13.90573351085186</v>
      </c>
      <c r="V231" s="2">
        <f t="shared" si="37"/>
        <v>0.4017707916458001</v>
      </c>
      <c r="W231" s="2">
        <v>32.683863252401352</v>
      </c>
      <c r="X231" s="2">
        <f t="shared" si="38"/>
        <v>0.94431707631336159</v>
      </c>
      <c r="Y231" s="2">
        <v>14.485565613955259</v>
      </c>
      <c r="Z231" s="2">
        <f t="shared" si="39"/>
        <v>0.41852356509020011</v>
      </c>
      <c r="AA231">
        <v>2017</v>
      </c>
      <c r="AB231">
        <v>0</v>
      </c>
      <c r="AC231">
        <v>60000000</v>
      </c>
    </row>
    <row r="232" spans="1:29" x14ac:dyDescent="0.2">
      <c r="A232">
        <v>1393</v>
      </c>
      <c r="B232" t="s">
        <v>108</v>
      </c>
      <c r="C232">
        <v>28</v>
      </c>
      <c r="D232">
        <v>2081</v>
      </c>
      <c r="E232">
        <v>10</v>
      </c>
      <c r="F232" s="2">
        <f t="shared" si="30"/>
        <v>0.43248438250840948</v>
      </c>
      <c r="G232" s="2">
        <v>10.42411703430116</v>
      </c>
      <c r="H232" s="2">
        <f t="shared" si="31"/>
        <v>0.45082678187751291</v>
      </c>
      <c r="I232">
        <v>6</v>
      </c>
      <c r="J232" s="2">
        <f t="shared" si="32"/>
        <v>0.25949062950504564</v>
      </c>
      <c r="K232" s="2">
        <v>5.1223492901772261</v>
      </c>
      <c r="L232" s="2">
        <f t="shared" si="33"/>
        <v>0.2215336069754687</v>
      </c>
      <c r="M232">
        <v>120</v>
      </c>
      <c r="N232" s="2">
        <f t="shared" si="34"/>
        <v>5.1898125901009129</v>
      </c>
      <c r="O232">
        <v>64</v>
      </c>
      <c r="P232" s="2">
        <f t="shared" si="35"/>
        <v>2.7679000480538205</v>
      </c>
      <c r="Q232" t="s">
        <v>222</v>
      </c>
      <c r="R232" t="s">
        <v>102</v>
      </c>
      <c r="S232">
        <v>9</v>
      </c>
      <c r="T232" s="2">
        <f t="shared" si="36"/>
        <v>0.38923594425756847</v>
      </c>
      <c r="U232" s="2">
        <v>8.9015600588172674</v>
      </c>
      <c r="V232" s="2">
        <f t="shared" si="37"/>
        <v>0.38497857053991064</v>
      </c>
      <c r="W232" s="2">
        <v>19.24692364782095</v>
      </c>
      <c r="X232" s="2">
        <f t="shared" si="38"/>
        <v>0.83239938890143461</v>
      </c>
      <c r="Y232" s="2">
        <v>7.5033295936882496</v>
      </c>
      <c r="Z232" s="2">
        <f t="shared" si="39"/>
        <v>0.32450728660833372</v>
      </c>
      <c r="AA232">
        <v>2018</v>
      </c>
      <c r="AB232">
        <v>1</v>
      </c>
      <c r="AC232">
        <v>65000000</v>
      </c>
    </row>
    <row r="233" spans="1:29" x14ac:dyDescent="0.2">
      <c r="A233">
        <v>1393</v>
      </c>
      <c r="B233" t="s">
        <v>108</v>
      </c>
      <c r="C233">
        <v>37</v>
      </c>
      <c r="D233">
        <v>2852</v>
      </c>
      <c r="E233">
        <v>8</v>
      </c>
      <c r="F233" s="2">
        <f t="shared" si="30"/>
        <v>0.25245441795231416</v>
      </c>
      <c r="G233" s="2">
        <v>13.023430295288559</v>
      </c>
      <c r="H233" s="2">
        <f t="shared" si="31"/>
        <v>0.41097781436745107</v>
      </c>
      <c r="I233">
        <v>6</v>
      </c>
      <c r="J233" s="2">
        <f t="shared" si="32"/>
        <v>0.18934081346423562</v>
      </c>
      <c r="K233" s="2">
        <v>7.6686384286731482</v>
      </c>
      <c r="L233" s="2">
        <f t="shared" si="33"/>
        <v>0.2419977063746786</v>
      </c>
      <c r="M233">
        <v>120</v>
      </c>
      <c r="N233" s="2">
        <f t="shared" si="34"/>
        <v>3.7868162692847123</v>
      </c>
      <c r="O233">
        <v>85</v>
      </c>
      <c r="P233" s="2">
        <f t="shared" si="35"/>
        <v>2.6823281907433381</v>
      </c>
      <c r="Q233" t="s">
        <v>222</v>
      </c>
      <c r="R233" t="s">
        <v>102</v>
      </c>
      <c r="S233">
        <v>3</v>
      </c>
      <c r="T233" s="2">
        <f t="shared" si="36"/>
        <v>9.4670406732117809E-2</v>
      </c>
      <c r="U233" s="2">
        <v>9.2169809639453888</v>
      </c>
      <c r="V233" s="2">
        <f t="shared" si="37"/>
        <v>0.29085844556629908</v>
      </c>
      <c r="W233" s="2">
        <v>22.409112378954891</v>
      </c>
      <c r="X233" s="2">
        <f t="shared" si="38"/>
        <v>0.70715992780713188</v>
      </c>
      <c r="Y233" s="2">
        <v>11.923518257215621</v>
      </c>
      <c r="Z233" s="2">
        <f t="shared" si="39"/>
        <v>0.3762681076961451</v>
      </c>
      <c r="AA233">
        <v>2019</v>
      </c>
      <c r="AB233">
        <v>1</v>
      </c>
      <c r="AC233">
        <v>48000000</v>
      </c>
    </row>
    <row r="234" spans="1:29" x14ac:dyDescent="0.2">
      <c r="A234">
        <v>1484</v>
      </c>
      <c r="B234" t="s">
        <v>109</v>
      </c>
      <c r="C234">
        <v>31</v>
      </c>
      <c r="D234">
        <v>2542</v>
      </c>
      <c r="E234">
        <v>2</v>
      </c>
      <c r="F234" s="2">
        <f t="shared" si="30"/>
        <v>7.0810385523210076E-2</v>
      </c>
      <c r="G234" s="2">
        <v>3.2922427598386999</v>
      </c>
      <c r="H234" s="2">
        <f t="shared" si="31"/>
        <v>0.11656248953008772</v>
      </c>
      <c r="I234">
        <v>0</v>
      </c>
      <c r="J234" s="2">
        <f t="shared" si="32"/>
        <v>0</v>
      </c>
      <c r="K234" s="2">
        <v>0.89027860760688782</v>
      </c>
      <c r="L234" s="2">
        <f t="shared" si="33"/>
        <v>3.1520485713855191E-2</v>
      </c>
      <c r="M234">
        <v>29</v>
      </c>
      <c r="N234" s="2">
        <f t="shared" si="34"/>
        <v>1.0267505900865459</v>
      </c>
      <c r="O234">
        <v>15</v>
      </c>
      <c r="P234" s="2">
        <f t="shared" si="35"/>
        <v>0.53107789142407558</v>
      </c>
      <c r="Q234" t="s">
        <v>224</v>
      </c>
      <c r="R234" t="s">
        <v>93</v>
      </c>
      <c r="S234">
        <v>2</v>
      </c>
      <c r="T234" s="2">
        <f t="shared" si="36"/>
        <v>7.0810385523210076E-2</v>
      </c>
      <c r="U234" s="2">
        <v>3.2922427598386999</v>
      </c>
      <c r="V234" s="2">
        <f t="shared" si="37"/>
        <v>0.11656248953008772</v>
      </c>
      <c r="W234" s="2">
        <v>12.477381654083731</v>
      </c>
      <c r="X234" s="2">
        <f t="shared" si="38"/>
        <v>0.4417641026229488</v>
      </c>
      <c r="Y234" s="2">
        <v>10.512208040803671</v>
      </c>
      <c r="Z234" s="2">
        <f t="shared" si="39"/>
        <v>0.37218675203474838</v>
      </c>
      <c r="AA234">
        <v>2020</v>
      </c>
      <c r="AB234">
        <v>0</v>
      </c>
      <c r="AC234">
        <v>16000000</v>
      </c>
    </row>
    <row r="235" spans="1:29" x14ac:dyDescent="0.2">
      <c r="A235">
        <v>1484</v>
      </c>
      <c r="B235" t="s">
        <v>109</v>
      </c>
      <c r="C235">
        <v>20</v>
      </c>
      <c r="D235">
        <v>1441</v>
      </c>
      <c r="E235">
        <v>1</v>
      </c>
      <c r="F235" s="2">
        <f t="shared" si="30"/>
        <v>6.2456627342123525E-2</v>
      </c>
      <c r="G235" s="2">
        <v>1.249266095459461</v>
      </c>
      <c r="H235" s="2">
        <f t="shared" si="31"/>
        <v>7.8024946975261272E-2</v>
      </c>
      <c r="I235">
        <v>1</v>
      </c>
      <c r="J235" s="2">
        <f t="shared" si="32"/>
        <v>6.2456627342123525E-2</v>
      </c>
      <c r="K235" s="2">
        <v>0.569868303835392</v>
      </c>
      <c r="L235" s="2">
        <f t="shared" si="33"/>
        <v>3.55920522867351E-2</v>
      </c>
      <c r="M235">
        <v>12</v>
      </c>
      <c r="N235" s="2">
        <f t="shared" si="34"/>
        <v>0.74947952810548224</v>
      </c>
      <c r="O235">
        <v>8</v>
      </c>
      <c r="P235" s="2">
        <f t="shared" si="35"/>
        <v>0.4996530187369882</v>
      </c>
      <c r="Q235" t="s">
        <v>224</v>
      </c>
      <c r="R235" t="s">
        <v>93</v>
      </c>
      <c r="S235">
        <v>1</v>
      </c>
      <c r="T235" s="2">
        <f t="shared" si="36"/>
        <v>6.2456627342123525E-2</v>
      </c>
      <c r="U235" s="2">
        <v>1.249266095459461</v>
      </c>
      <c r="V235" s="2">
        <f t="shared" si="37"/>
        <v>7.8024946975261272E-2</v>
      </c>
      <c r="W235" s="2">
        <v>6.2104376181960106</v>
      </c>
      <c r="X235" s="2">
        <f t="shared" si="38"/>
        <v>0.38788298795117343</v>
      </c>
      <c r="Y235" s="2">
        <v>5.2134323436766863</v>
      </c>
      <c r="Z235" s="2">
        <f t="shared" si="39"/>
        <v>0.32561340106238845</v>
      </c>
      <c r="AA235">
        <v>2021</v>
      </c>
      <c r="AB235">
        <v>0</v>
      </c>
      <c r="AC235">
        <v>8000000</v>
      </c>
    </row>
    <row r="236" spans="1:29" x14ac:dyDescent="0.2">
      <c r="A236">
        <v>1484</v>
      </c>
      <c r="B236" t="s">
        <v>109</v>
      </c>
      <c r="C236">
        <v>32</v>
      </c>
      <c r="D236">
        <v>2805</v>
      </c>
      <c r="E236">
        <v>2</v>
      </c>
      <c r="F236" s="2">
        <f t="shared" si="30"/>
        <v>6.4171122994652399E-2</v>
      </c>
      <c r="G236" s="2">
        <v>2.8180209705606099</v>
      </c>
      <c r="H236" s="2">
        <f t="shared" si="31"/>
        <v>9.0417785151677324E-2</v>
      </c>
      <c r="I236">
        <v>1</v>
      </c>
      <c r="J236" s="2">
        <f t="shared" si="32"/>
        <v>3.20855614973262E-2</v>
      </c>
      <c r="K236" s="2">
        <v>0.95760878548026085</v>
      </c>
      <c r="L236" s="2">
        <f t="shared" si="33"/>
        <v>3.0725415576906764E-2</v>
      </c>
      <c r="M236">
        <v>29</v>
      </c>
      <c r="N236" s="2">
        <f t="shared" si="34"/>
        <v>0.93048128342245984</v>
      </c>
      <c r="O236">
        <v>17</v>
      </c>
      <c r="P236" s="2">
        <f t="shared" si="35"/>
        <v>0.54545454545454541</v>
      </c>
      <c r="Q236" t="s">
        <v>224</v>
      </c>
      <c r="R236" t="s">
        <v>93</v>
      </c>
      <c r="S236">
        <v>2</v>
      </c>
      <c r="T236" s="2">
        <f t="shared" si="36"/>
        <v>6.4171122994652399E-2</v>
      </c>
      <c r="U236" s="2">
        <v>2.8180209705606099</v>
      </c>
      <c r="V236" s="2">
        <f t="shared" si="37"/>
        <v>9.0417785151677324E-2</v>
      </c>
      <c r="W236" s="2">
        <v>10.39473212324083</v>
      </c>
      <c r="X236" s="2">
        <f t="shared" si="38"/>
        <v>0.33352081678847584</v>
      </c>
      <c r="Y236" s="2">
        <v>9.4957085093483329</v>
      </c>
      <c r="Z236" s="2">
        <f t="shared" si="39"/>
        <v>0.30467513933737966</v>
      </c>
      <c r="AA236">
        <v>2022</v>
      </c>
      <c r="AB236">
        <v>1</v>
      </c>
      <c r="AC236">
        <v>6000000</v>
      </c>
    </row>
    <row r="237" spans="1:29" x14ac:dyDescent="0.2">
      <c r="A237">
        <v>1484</v>
      </c>
      <c r="B237" t="s">
        <v>109</v>
      </c>
      <c r="C237">
        <v>18</v>
      </c>
      <c r="D237">
        <v>956</v>
      </c>
      <c r="E237">
        <v>0</v>
      </c>
      <c r="F237" s="2">
        <f t="shared" si="30"/>
        <v>0</v>
      </c>
      <c r="G237" s="2">
        <v>6.7425758577883244E-2</v>
      </c>
      <c r="H237" s="2">
        <f t="shared" si="31"/>
        <v>6.347613255240055E-3</v>
      </c>
      <c r="I237">
        <v>0</v>
      </c>
      <c r="J237" s="2">
        <f t="shared" si="32"/>
        <v>0</v>
      </c>
      <c r="K237" s="2">
        <v>5.944761261343956E-2</v>
      </c>
      <c r="L237" s="2">
        <f t="shared" si="33"/>
        <v>5.5965325682108364E-3</v>
      </c>
      <c r="M237">
        <v>3</v>
      </c>
      <c r="N237" s="2">
        <f t="shared" si="34"/>
        <v>0.28242677824267781</v>
      </c>
      <c r="O237">
        <v>2</v>
      </c>
      <c r="P237" s="2">
        <f t="shared" si="35"/>
        <v>0.18828451882845187</v>
      </c>
      <c r="Q237" t="s">
        <v>224</v>
      </c>
      <c r="R237" t="s">
        <v>93</v>
      </c>
      <c r="S237">
        <v>0</v>
      </c>
      <c r="T237" s="2">
        <f t="shared" si="36"/>
        <v>0</v>
      </c>
      <c r="U237" s="2">
        <v>6.7425758577883244E-2</v>
      </c>
      <c r="V237" s="2">
        <f t="shared" si="37"/>
        <v>6.347613255240055E-3</v>
      </c>
      <c r="W237" s="2">
        <v>1.8332844786345961</v>
      </c>
      <c r="X237" s="2">
        <f t="shared" si="38"/>
        <v>0.17258954296769211</v>
      </c>
      <c r="Y237" s="2">
        <v>1.753275409340858</v>
      </c>
      <c r="Z237" s="2">
        <f t="shared" si="39"/>
        <v>0.16505730841075023</v>
      </c>
      <c r="AA237">
        <v>2023</v>
      </c>
      <c r="AB237">
        <v>1</v>
      </c>
      <c r="AC237">
        <v>2500000</v>
      </c>
    </row>
    <row r="238" spans="1:29" x14ac:dyDescent="0.2">
      <c r="A238">
        <v>1491</v>
      </c>
      <c r="B238" t="s">
        <v>110</v>
      </c>
      <c r="C238">
        <v>36</v>
      </c>
      <c r="D238">
        <v>2879</v>
      </c>
      <c r="E238">
        <v>7</v>
      </c>
      <c r="F238" s="2">
        <f t="shared" si="30"/>
        <v>0.21882598124348732</v>
      </c>
      <c r="G238" s="2">
        <v>8.4373623682186007</v>
      </c>
      <c r="H238" s="2">
        <f t="shared" si="31"/>
        <v>0.26375915704747277</v>
      </c>
      <c r="I238">
        <v>16</v>
      </c>
      <c r="J238" s="2">
        <f t="shared" si="32"/>
        <v>0.50017367141368529</v>
      </c>
      <c r="K238" s="2">
        <v>10.007644957862791</v>
      </c>
      <c r="L238" s="2">
        <f t="shared" si="33"/>
        <v>0.31284753254868047</v>
      </c>
      <c r="M238">
        <v>95</v>
      </c>
      <c r="N238" s="2">
        <f t="shared" si="34"/>
        <v>2.969781174018757</v>
      </c>
      <c r="O238">
        <v>101</v>
      </c>
      <c r="P238" s="2">
        <f t="shared" si="35"/>
        <v>3.1573463007988889</v>
      </c>
      <c r="Q238" t="s">
        <v>222</v>
      </c>
      <c r="R238" t="s">
        <v>93</v>
      </c>
      <c r="S238">
        <v>7</v>
      </c>
      <c r="T238" s="2">
        <f t="shared" si="36"/>
        <v>0.21882598124348732</v>
      </c>
      <c r="U238" s="2">
        <v>8.4373623682186007</v>
      </c>
      <c r="V238" s="2">
        <f t="shared" si="37"/>
        <v>0.26375915704747277</v>
      </c>
      <c r="W238" s="2">
        <v>26.194511899724599</v>
      </c>
      <c r="X238" s="2">
        <f t="shared" si="38"/>
        <v>0.81886282423592005</v>
      </c>
      <c r="Y238" s="2">
        <v>15.41275335755199</v>
      </c>
      <c r="Z238" s="2">
        <f t="shared" si="39"/>
        <v>0.48181583959002405</v>
      </c>
      <c r="AA238">
        <v>2019</v>
      </c>
      <c r="AB238">
        <v>0</v>
      </c>
      <c r="AC238">
        <v>15000000</v>
      </c>
    </row>
    <row r="239" spans="1:29" x14ac:dyDescent="0.2">
      <c r="A239">
        <v>1491</v>
      </c>
      <c r="B239" t="s">
        <v>110</v>
      </c>
      <c r="C239">
        <v>18</v>
      </c>
      <c r="D239">
        <v>916</v>
      </c>
      <c r="E239">
        <v>3</v>
      </c>
      <c r="F239" s="2">
        <f t="shared" si="30"/>
        <v>0.29475982532751088</v>
      </c>
      <c r="G239" s="2">
        <v>0.79596119839698076</v>
      </c>
      <c r="H239" s="2">
        <f t="shared" si="31"/>
        <v>7.8205794602323436E-2</v>
      </c>
      <c r="I239">
        <v>1</v>
      </c>
      <c r="J239" s="2">
        <f t="shared" si="32"/>
        <v>9.8253275109170299E-2</v>
      </c>
      <c r="K239" s="2">
        <v>1.2385487109422679</v>
      </c>
      <c r="L239" s="2">
        <f t="shared" si="33"/>
        <v>0.1216914672323189</v>
      </c>
      <c r="M239">
        <v>18</v>
      </c>
      <c r="N239" s="2">
        <f t="shared" si="34"/>
        <v>1.7685589519650655</v>
      </c>
      <c r="O239">
        <v>17</v>
      </c>
      <c r="P239" s="2">
        <f t="shared" si="35"/>
        <v>1.6703056768558953</v>
      </c>
      <c r="Q239" t="s">
        <v>222</v>
      </c>
      <c r="R239" t="s">
        <v>74</v>
      </c>
      <c r="S239">
        <v>3</v>
      </c>
      <c r="T239" s="2">
        <f t="shared" si="36"/>
        <v>0.29475982532751088</v>
      </c>
      <c r="U239" s="2">
        <v>0.79596119839698076</v>
      </c>
      <c r="V239" s="2">
        <f t="shared" si="37"/>
        <v>7.8205794602323436E-2</v>
      </c>
      <c r="W239" s="2">
        <v>4.1756763067096472</v>
      </c>
      <c r="X239" s="2">
        <f t="shared" si="38"/>
        <v>0.41027387292998718</v>
      </c>
      <c r="Y239" s="2">
        <v>2.685978308320045</v>
      </c>
      <c r="Z239" s="2">
        <f t="shared" si="39"/>
        <v>0.26390616566463326</v>
      </c>
      <c r="AA239">
        <v>2020</v>
      </c>
      <c r="AB239">
        <v>0</v>
      </c>
      <c r="AC239">
        <v>9000000</v>
      </c>
    </row>
    <row r="240" spans="1:29" x14ac:dyDescent="0.2">
      <c r="A240">
        <v>1491</v>
      </c>
      <c r="B240" t="s">
        <v>110</v>
      </c>
      <c r="C240">
        <v>10</v>
      </c>
      <c r="D240">
        <v>676</v>
      </c>
      <c r="E240">
        <v>4</v>
      </c>
      <c r="F240" s="2">
        <f t="shared" si="30"/>
        <v>0.5325443786982248</v>
      </c>
      <c r="G240" s="2">
        <v>2.7268915865570311</v>
      </c>
      <c r="H240" s="2">
        <f t="shared" si="31"/>
        <v>0.3630476964351077</v>
      </c>
      <c r="I240">
        <v>2</v>
      </c>
      <c r="J240" s="2">
        <f t="shared" si="32"/>
        <v>0.2662721893491124</v>
      </c>
      <c r="K240" s="2">
        <v>1.6215687803924079</v>
      </c>
      <c r="L240" s="2">
        <f t="shared" si="33"/>
        <v>0.21588933466762827</v>
      </c>
      <c r="M240">
        <v>29</v>
      </c>
      <c r="N240" s="2">
        <f t="shared" si="34"/>
        <v>3.86094674556213</v>
      </c>
      <c r="O240">
        <v>19</v>
      </c>
      <c r="P240" s="2">
        <f t="shared" si="35"/>
        <v>2.529585798816568</v>
      </c>
      <c r="Q240" t="s">
        <v>222</v>
      </c>
      <c r="R240" t="s">
        <v>93</v>
      </c>
      <c r="S240">
        <v>4</v>
      </c>
      <c r="T240" s="2">
        <f t="shared" si="36"/>
        <v>0.5325443786982248</v>
      </c>
      <c r="U240" s="2">
        <v>2.7268915865570311</v>
      </c>
      <c r="V240" s="2">
        <f t="shared" si="37"/>
        <v>0.3630476964351077</v>
      </c>
      <c r="W240" s="2">
        <v>6.293661892414093</v>
      </c>
      <c r="X240" s="2">
        <f t="shared" si="38"/>
        <v>0.83791356555808927</v>
      </c>
      <c r="Y240" s="2">
        <v>3.8219358026981349</v>
      </c>
      <c r="Z240" s="2">
        <f t="shared" si="39"/>
        <v>0.50883760686809487</v>
      </c>
      <c r="AA240">
        <v>2020</v>
      </c>
      <c r="AB240">
        <v>0</v>
      </c>
      <c r="AC240">
        <v>9000000</v>
      </c>
    </row>
    <row r="241" spans="1:29" x14ac:dyDescent="0.2">
      <c r="A241">
        <v>1491</v>
      </c>
      <c r="B241" t="s">
        <v>110</v>
      </c>
      <c r="C241">
        <v>29</v>
      </c>
      <c r="D241">
        <v>1790</v>
      </c>
      <c r="E241">
        <v>5</v>
      </c>
      <c r="F241" s="2">
        <f t="shared" si="30"/>
        <v>0.25139664804469275</v>
      </c>
      <c r="G241" s="2">
        <v>2.69128530845046</v>
      </c>
      <c r="H241" s="2">
        <f t="shared" si="31"/>
        <v>0.13531602109527452</v>
      </c>
      <c r="I241">
        <v>1</v>
      </c>
      <c r="J241" s="2">
        <f t="shared" si="32"/>
        <v>5.0279329608938543E-2</v>
      </c>
      <c r="K241" s="2">
        <v>3.008403704501688</v>
      </c>
      <c r="L241" s="2">
        <f t="shared" si="33"/>
        <v>0.15126052145539212</v>
      </c>
      <c r="M241">
        <v>34</v>
      </c>
      <c r="N241" s="2">
        <f t="shared" si="34"/>
        <v>1.7094972067039107</v>
      </c>
      <c r="O241">
        <v>23</v>
      </c>
      <c r="P241" s="2">
        <f t="shared" si="35"/>
        <v>1.1564245810055866</v>
      </c>
      <c r="Q241" t="s">
        <v>222</v>
      </c>
      <c r="R241" t="s">
        <v>74</v>
      </c>
      <c r="S241">
        <v>5</v>
      </c>
      <c r="T241" s="2">
        <f t="shared" si="36"/>
        <v>0.25139664804469275</v>
      </c>
      <c r="U241" s="2">
        <v>2.69128530845046</v>
      </c>
      <c r="V241" s="2">
        <f t="shared" si="37"/>
        <v>0.13531602109527452</v>
      </c>
      <c r="W241" s="2">
        <v>10.354178119450809</v>
      </c>
      <c r="X241" s="2">
        <f t="shared" si="38"/>
        <v>0.52060113449752676</v>
      </c>
      <c r="Y241" s="2">
        <v>6.2317305319011211</v>
      </c>
      <c r="Z241" s="2">
        <f t="shared" si="39"/>
        <v>0.31332723344754243</v>
      </c>
      <c r="AA241">
        <v>2021</v>
      </c>
      <c r="AB241">
        <v>1</v>
      </c>
      <c r="AC241">
        <v>6000000</v>
      </c>
    </row>
    <row r="242" spans="1:29" x14ac:dyDescent="0.2">
      <c r="A242">
        <v>1491</v>
      </c>
      <c r="B242" t="s">
        <v>110</v>
      </c>
      <c r="C242">
        <v>19</v>
      </c>
      <c r="D242">
        <v>1060</v>
      </c>
      <c r="E242">
        <v>1</v>
      </c>
      <c r="F242" s="2">
        <f t="shared" si="30"/>
        <v>8.4905660377358486E-2</v>
      </c>
      <c r="G242" s="2">
        <v>1.4847979415208099</v>
      </c>
      <c r="H242" s="2">
        <f t="shared" si="31"/>
        <v>0.12606774975176688</v>
      </c>
      <c r="I242">
        <v>1</v>
      </c>
      <c r="J242" s="2">
        <f t="shared" si="32"/>
        <v>8.4905660377358486E-2</v>
      </c>
      <c r="K242" s="2">
        <v>2.053089139983058</v>
      </c>
      <c r="L242" s="2">
        <f t="shared" si="33"/>
        <v>0.17431888924384453</v>
      </c>
      <c r="M242">
        <v>22</v>
      </c>
      <c r="N242" s="2">
        <f t="shared" si="34"/>
        <v>1.8679245283018866</v>
      </c>
      <c r="O242">
        <v>14</v>
      </c>
      <c r="P242" s="2">
        <f t="shared" si="35"/>
        <v>1.1886792452830188</v>
      </c>
      <c r="Q242" t="s">
        <v>222</v>
      </c>
      <c r="R242" t="s">
        <v>74</v>
      </c>
      <c r="S242">
        <v>1</v>
      </c>
      <c r="T242" s="2">
        <f t="shared" si="36"/>
        <v>8.4905660377358486E-2</v>
      </c>
      <c r="U242" s="2">
        <v>1.4847979415208099</v>
      </c>
      <c r="V242" s="2">
        <f t="shared" si="37"/>
        <v>0.12606774975176688</v>
      </c>
      <c r="W242" s="2">
        <v>7.0909242257475853</v>
      </c>
      <c r="X242" s="2">
        <f t="shared" si="38"/>
        <v>0.60205960407290815</v>
      </c>
      <c r="Y242" s="2">
        <v>3.941116283647716</v>
      </c>
      <c r="Z242" s="2">
        <f t="shared" si="39"/>
        <v>0.33462308068707025</v>
      </c>
      <c r="AA242">
        <v>2022</v>
      </c>
      <c r="AB242">
        <v>1</v>
      </c>
      <c r="AC242">
        <v>3000000</v>
      </c>
    </row>
    <row r="243" spans="1:29" x14ac:dyDescent="0.2">
      <c r="A243">
        <v>1534</v>
      </c>
      <c r="B243" t="s">
        <v>111</v>
      </c>
      <c r="C243">
        <v>35</v>
      </c>
      <c r="D243">
        <v>3138</v>
      </c>
      <c r="E243">
        <v>2</v>
      </c>
      <c r="F243" s="2">
        <f t="shared" si="30"/>
        <v>5.736137667304015E-2</v>
      </c>
      <c r="G243" s="2">
        <v>0.38166100345551968</v>
      </c>
      <c r="H243" s="2">
        <f t="shared" si="31"/>
        <v>1.0946300290311272E-2</v>
      </c>
      <c r="I243">
        <v>0</v>
      </c>
      <c r="J243" s="2">
        <f t="shared" si="32"/>
        <v>0</v>
      </c>
      <c r="K243" s="2">
        <v>0.26278507616370922</v>
      </c>
      <c r="L243" s="2">
        <f t="shared" si="33"/>
        <v>7.5368568689400351E-3</v>
      </c>
      <c r="M243">
        <v>5</v>
      </c>
      <c r="N243" s="2">
        <f t="shared" si="34"/>
        <v>0.14340344168260039</v>
      </c>
      <c r="O243">
        <v>5</v>
      </c>
      <c r="P243" s="2">
        <f t="shared" si="35"/>
        <v>0.14340344168260039</v>
      </c>
      <c r="Q243" t="s">
        <v>224</v>
      </c>
      <c r="R243" t="s">
        <v>112</v>
      </c>
      <c r="S243">
        <v>2</v>
      </c>
      <c r="T243" s="2">
        <f t="shared" si="36"/>
        <v>5.736137667304015E-2</v>
      </c>
      <c r="U243" s="2">
        <v>0.38166100345551968</v>
      </c>
      <c r="V243" s="2">
        <f t="shared" si="37"/>
        <v>1.0946300290311272E-2</v>
      </c>
      <c r="W243" s="2">
        <v>2.5529501736164089</v>
      </c>
      <c r="X243" s="2">
        <f t="shared" si="38"/>
        <v>7.3220368268157046E-2</v>
      </c>
      <c r="Y243" s="2">
        <v>2.5220942040905361</v>
      </c>
      <c r="Z243" s="2">
        <f t="shared" si="39"/>
        <v>7.2335397822864328E-2</v>
      </c>
      <c r="AA243">
        <v>2015</v>
      </c>
      <c r="AB243">
        <v>0</v>
      </c>
      <c r="AC243">
        <v>3400000</v>
      </c>
    </row>
    <row r="244" spans="1:29" x14ac:dyDescent="0.2">
      <c r="A244">
        <v>1534</v>
      </c>
      <c r="B244" t="s">
        <v>111</v>
      </c>
      <c r="C244">
        <v>21</v>
      </c>
      <c r="D244">
        <v>1659</v>
      </c>
      <c r="E244">
        <v>1</v>
      </c>
      <c r="F244" s="2">
        <f t="shared" si="30"/>
        <v>5.4249547920433995E-2</v>
      </c>
      <c r="G244" s="2">
        <v>1.1015833336859939</v>
      </c>
      <c r="H244" s="2">
        <f t="shared" si="31"/>
        <v>5.9760397849149757E-2</v>
      </c>
      <c r="I244">
        <v>0</v>
      </c>
      <c r="J244" s="2">
        <f t="shared" si="32"/>
        <v>0</v>
      </c>
      <c r="K244" s="2">
        <v>0.23637920431792739</v>
      </c>
      <c r="L244" s="2">
        <f t="shared" si="33"/>
        <v>1.2823464972039463E-2</v>
      </c>
      <c r="M244">
        <v>5</v>
      </c>
      <c r="N244" s="2">
        <f t="shared" si="34"/>
        <v>0.27124773960216997</v>
      </c>
      <c r="O244">
        <v>6</v>
      </c>
      <c r="P244" s="2">
        <f t="shared" si="35"/>
        <v>0.32549728752260398</v>
      </c>
      <c r="Q244" t="s">
        <v>224</v>
      </c>
      <c r="R244" t="s">
        <v>112</v>
      </c>
      <c r="S244">
        <v>1</v>
      </c>
      <c r="T244" s="2">
        <f t="shared" si="36"/>
        <v>5.4249547920433995E-2</v>
      </c>
      <c r="U244" s="2">
        <v>1.1015833336859939</v>
      </c>
      <c r="V244" s="2">
        <f t="shared" si="37"/>
        <v>5.9760397849149757E-2</v>
      </c>
      <c r="W244" s="2">
        <v>1.0807448169216509</v>
      </c>
      <c r="X244" s="2">
        <f t="shared" si="38"/>
        <v>5.8629917735351769E-2</v>
      </c>
      <c r="Y244" s="2">
        <v>0.99979130458086718</v>
      </c>
      <c r="Z244" s="2">
        <f t="shared" si="39"/>
        <v>5.4238226288292973E-2</v>
      </c>
      <c r="AA244">
        <v>2016</v>
      </c>
      <c r="AB244">
        <v>0</v>
      </c>
      <c r="AC244">
        <v>2000000</v>
      </c>
    </row>
    <row r="245" spans="1:29" x14ac:dyDescent="0.2">
      <c r="A245">
        <v>1534</v>
      </c>
      <c r="B245" t="s">
        <v>111</v>
      </c>
      <c r="C245">
        <v>22</v>
      </c>
      <c r="D245">
        <v>1865</v>
      </c>
      <c r="E245">
        <v>0</v>
      </c>
      <c r="F245" s="2">
        <f t="shared" si="30"/>
        <v>0</v>
      </c>
      <c r="G245" s="2">
        <v>0.13338040001690391</v>
      </c>
      <c r="H245" s="2">
        <f t="shared" si="31"/>
        <v>6.4365876683760599E-3</v>
      </c>
      <c r="I245">
        <v>0</v>
      </c>
      <c r="J245" s="2">
        <f t="shared" si="32"/>
        <v>0</v>
      </c>
      <c r="K245" s="2">
        <v>0</v>
      </c>
      <c r="L245" s="2">
        <f t="shared" si="33"/>
        <v>0</v>
      </c>
      <c r="M245">
        <v>2</v>
      </c>
      <c r="N245" s="2">
        <f t="shared" si="34"/>
        <v>9.6514745308311001E-2</v>
      </c>
      <c r="O245">
        <v>0</v>
      </c>
      <c r="P245" s="2">
        <f t="shared" si="35"/>
        <v>0</v>
      </c>
      <c r="Q245" t="s">
        <v>224</v>
      </c>
      <c r="R245" t="s">
        <v>113</v>
      </c>
      <c r="S245">
        <v>0</v>
      </c>
      <c r="T245" s="2">
        <f t="shared" si="36"/>
        <v>0</v>
      </c>
      <c r="U245" s="2">
        <v>0.13338040001690391</v>
      </c>
      <c r="V245" s="2">
        <f t="shared" si="37"/>
        <v>6.4365876683760599E-3</v>
      </c>
      <c r="W245" s="2">
        <v>2.9850976532325149</v>
      </c>
      <c r="X245" s="2">
        <f t="shared" si="38"/>
        <v>0.14405296986108651</v>
      </c>
      <c r="Y245" s="2">
        <v>2.9850976532325149</v>
      </c>
      <c r="Z245" s="2">
        <f t="shared" si="39"/>
        <v>0.14405296986108651</v>
      </c>
      <c r="AA245">
        <v>2017</v>
      </c>
      <c r="AB245">
        <v>1</v>
      </c>
      <c r="AC245">
        <v>1400000</v>
      </c>
    </row>
    <row r="246" spans="1:29" x14ac:dyDescent="0.2">
      <c r="A246">
        <v>1534</v>
      </c>
      <c r="B246" t="s">
        <v>111</v>
      </c>
      <c r="C246">
        <v>12</v>
      </c>
      <c r="D246">
        <v>744</v>
      </c>
      <c r="E246">
        <v>0</v>
      </c>
      <c r="F246" s="2">
        <f t="shared" si="30"/>
        <v>0</v>
      </c>
      <c r="G246" s="2">
        <v>0.13080999255180359</v>
      </c>
      <c r="H246" s="2">
        <f t="shared" si="31"/>
        <v>1.5823789421589143E-2</v>
      </c>
      <c r="I246">
        <v>1</v>
      </c>
      <c r="J246" s="2">
        <f t="shared" si="32"/>
        <v>0.12096774193548387</v>
      </c>
      <c r="K246" s="2">
        <v>0.97873196005821239</v>
      </c>
      <c r="L246" s="2">
        <f t="shared" si="33"/>
        <v>0.11839499516833214</v>
      </c>
      <c r="M246">
        <v>2</v>
      </c>
      <c r="N246" s="2">
        <f t="shared" si="34"/>
        <v>0.24193548387096775</v>
      </c>
      <c r="O246">
        <v>3</v>
      </c>
      <c r="P246" s="2">
        <f t="shared" si="35"/>
        <v>0.36290322580645162</v>
      </c>
      <c r="Q246" t="s">
        <v>224</v>
      </c>
      <c r="R246" t="s">
        <v>113</v>
      </c>
      <c r="S246">
        <v>0</v>
      </c>
      <c r="T246" s="2">
        <f t="shared" si="36"/>
        <v>0</v>
      </c>
      <c r="U246" s="2">
        <v>0.13080999255180359</v>
      </c>
      <c r="V246" s="2">
        <f t="shared" si="37"/>
        <v>1.5823789421589143E-2</v>
      </c>
      <c r="W246" s="2">
        <v>1.0888947211205959</v>
      </c>
      <c r="X246" s="2">
        <f t="shared" si="38"/>
        <v>0.13172113561942692</v>
      </c>
      <c r="Y246" s="2">
        <v>1.0888947211205959</v>
      </c>
      <c r="Z246" s="2">
        <f t="shared" si="39"/>
        <v>0.13172113561942692</v>
      </c>
      <c r="AA246">
        <v>2018</v>
      </c>
      <c r="AB246">
        <v>1</v>
      </c>
      <c r="AC246">
        <v>1000000</v>
      </c>
    </row>
    <row r="247" spans="1:29" x14ac:dyDescent="0.2">
      <c r="A247">
        <v>1574</v>
      </c>
      <c r="B247" t="s">
        <v>114</v>
      </c>
      <c r="C247">
        <v>32</v>
      </c>
      <c r="D247">
        <v>2652</v>
      </c>
      <c r="E247">
        <v>2</v>
      </c>
      <c r="F247" s="2">
        <f t="shared" si="30"/>
        <v>6.7873303167420823E-2</v>
      </c>
      <c r="G247" s="2">
        <v>1.9455424072220919</v>
      </c>
      <c r="H247" s="2">
        <f t="shared" si="31"/>
        <v>6.6025194815229366E-2</v>
      </c>
      <c r="I247">
        <v>1</v>
      </c>
      <c r="J247" s="2">
        <f t="shared" si="32"/>
        <v>3.3936651583710412E-2</v>
      </c>
      <c r="K247" s="2">
        <v>1.7728251907974479</v>
      </c>
      <c r="L247" s="2">
        <f t="shared" si="33"/>
        <v>6.0163750818917915E-2</v>
      </c>
      <c r="M247">
        <v>24</v>
      </c>
      <c r="N247" s="2">
        <f t="shared" si="34"/>
        <v>0.81447963800904988</v>
      </c>
      <c r="O247">
        <v>21</v>
      </c>
      <c r="P247" s="2">
        <f t="shared" si="35"/>
        <v>0.71266968325791846</v>
      </c>
      <c r="Q247" t="s">
        <v>224</v>
      </c>
      <c r="R247" t="s">
        <v>57</v>
      </c>
      <c r="S247">
        <v>2</v>
      </c>
      <c r="T247" s="2">
        <f t="shared" si="36"/>
        <v>6.7873303167420823E-2</v>
      </c>
      <c r="U247" s="2">
        <v>1.9455424072220919</v>
      </c>
      <c r="V247" s="2">
        <f t="shared" si="37"/>
        <v>6.6025194815229366E-2</v>
      </c>
      <c r="W247" s="2">
        <v>8.9153290186077356</v>
      </c>
      <c r="X247" s="2">
        <f t="shared" si="38"/>
        <v>0.30255641465863353</v>
      </c>
      <c r="Y247" s="2">
        <v>5.8820500485599041</v>
      </c>
      <c r="Z247" s="2">
        <f t="shared" si="39"/>
        <v>0.19961708309592432</v>
      </c>
      <c r="AA247">
        <v>2020</v>
      </c>
      <c r="AB247">
        <v>0</v>
      </c>
      <c r="AC247">
        <v>25000000</v>
      </c>
    </row>
    <row r="248" spans="1:29" x14ac:dyDescent="0.2">
      <c r="A248">
        <v>1574</v>
      </c>
      <c r="B248" t="s">
        <v>114</v>
      </c>
      <c r="C248">
        <v>26</v>
      </c>
      <c r="D248">
        <v>2135</v>
      </c>
      <c r="E248">
        <v>2</v>
      </c>
      <c r="F248" s="2">
        <f t="shared" si="30"/>
        <v>8.4309133489461355E-2</v>
      </c>
      <c r="G248" s="2">
        <v>3.896274720318615</v>
      </c>
      <c r="H248" s="2">
        <f t="shared" si="31"/>
        <v>0.16424577275347793</v>
      </c>
      <c r="I248">
        <v>3</v>
      </c>
      <c r="J248" s="2">
        <f t="shared" si="32"/>
        <v>0.12646370023419204</v>
      </c>
      <c r="K248" s="2">
        <v>1.8661153744906189</v>
      </c>
      <c r="L248" s="2">
        <f t="shared" si="33"/>
        <v>7.866528510733288E-2</v>
      </c>
      <c r="M248">
        <v>36</v>
      </c>
      <c r="N248" s="2">
        <f t="shared" si="34"/>
        <v>1.5175644028103044</v>
      </c>
      <c r="O248">
        <v>19</v>
      </c>
      <c r="P248" s="2">
        <f t="shared" si="35"/>
        <v>0.80093676814988302</v>
      </c>
      <c r="Q248" t="s">
        <v>224</v>
      </c>
      <c r="R248" t="s">
        <v>57</v>
      </c>
      <c r="S248">
        <v>2</v>
      </c>
      <c r="T248" s="2">
        <f t="shared" si="36"/>
        <v>8.4309133489461355E-2</v>
      </c>
      <c r="U248" s="2">
        <v>3.896274720318615</v>
      </c>
      <c r="V248" s="2">
        <f t="shared" si="37"/>
        <v>0.16424577275347793</v>
      </c>
      <c r="W248" s="2">
        <v>10.81116629205644</v>
      </c>
      <c r="X248" s="2">
        <f t="shared" si="38"/>
        <v>0.45574003104687566</v>
      </c>
      <c r="Y248" s="2">
        <v>6.9485787739977241</v>
      </c>
      <c r="Z248" s="2">
        <f t="shared" si="39"/>
        <v>0.29291432770950593</v>
      </c>
      <c r="AA248">
        <v>2021</v>
      </c>
      <c r="AB248">
        <v>0</v>
      </c>
      <c r="AC248">
        <v>25000000</v>
      </c>
    </row>
    <row r="249" spans="1:29" x14ac:dyDescent="0.2">
      <c r="A249">
        <v>1574</v>
      </c>
      <c r="B249" t="s">
        <v>114</v>
      </c>
      <c r="C249">
        <v>25</v>
      </c>
      <c r="D249">
        <v>1704</v>
      </c>
      <c r="E249">
        <v>1</v>
      </c>
      <c r="F249" s="2">
        <f t="shared" si="30"/>
        <v>5.2816901408450703E-2</v>
      </c>
      <c r="G249" s="2">
        <v>0.96844185888767242</v>
      </c>
      <c r="H249" s="2">
        <f t="shared" si="31"/>
        <v>5.1150098180686922E-2</v>
      </c>
      <c r="I249">
        <v>4</v>
      </c>
      <c r="J249" s="2">
        <f t="shared" si="32"/>
        <v>0.21126760563380281</v>
      </c>
      <c r="K249" s="2">
        <v>2.113666415214539</v>
      </c>
      <c r="L249" s="2">
        <f t="shared" si="33"/>
        <v>0.11163731066273973</v>
      </c>
      <c r="M249">
        <v>16</v>
      </c>
      <c r="N249" s="2">
        <f t="shared" si="34"/>
        <v>0.84507042253521125</v>
      </c>
      <c r="O249">
        <v>19</v>
      </c>
      <c r="P249" s="2">
        <f t="shared" si="35"/>
        <v>1.0035211267605633</v>
      </c>
      <c r="Q249" t="s">
        <v>224</v>
      </c>
      <c r="R249" t="s">
        <v>57</v>
      </c>
      <c r="S249">
        <v>1</v>
      </c>
      <c r="T249" s="2">
        <f t="shared" si="36"/>
        <v>5.2816901408450703E-2</v>
      </c>
      <c r="U249" s="2">
        <v>0.96844185888767242</v>
      </c>
      <c r="V249" s="2">
        <f t="shared" si="37"/>
        <v>5.1150098180686922E-2</v>
      </c>
      <c r="W249" s="2">
        <v>10.04417737014592</v>
      </c>
      <c r="X249" s="2">
        <f t="shared" si="38"/>
        <v>0.53050232588798873</v>
      </c>
      <c r="Y249" s="2">
        <v>7.7988830413669348</v>
      </c>
      <c r="Z249" s="2">
        <f t="shared" si="39"/>
        <v>0.41191283669191558</v>
      </c>
      <c r="AA249">
        <v>2022</v>
      </c>
      <c r="AB249">
        <v>1</v>
      </c>
      <c r="AC249">
        <v>20000000</v>
      </c>
    </row>
    <row r="250" spans="1:29" x14ac:dyDescent="0.2">
      <c r="A250">
        <v>1574</v>
      </c>
      <c r="B250" t="s">
        <v>114</v>
      </c>
      <c r="C250">
        <v>29</v>
      </c>
      <c r="D250">
        <v>2216</v>
      </c>
      <c r="E250">
        <v>1</v>
      </c>
      <c r="F250" s="2">
        <f t="shared" si="30"/>
        <v>4.0613718411552348E-2</v>
      </c>
      <c r="G250" s="2">
        <v>1.232539556920528</v>
      </c>
      <c r="H250" s="2">
        <f t="shared" si="31"/>
        <v>5.0058014495869815E-2</v>
      </c>
      <c r="I250">
        <v>3</v>
      </c>
      <c r="J250" s="2">
        <f t="shared" si="32"/>
        <v>0.12184115523465704</v>
      </c>
      <c r="K250" s="2">
        <v>1.209073469042778</v>
      </c>
      <c r="L250" s="2">
        <f t="shared" si="33"/>
        <v>4.9104969410582143E-2</v>
      </c>
      <c r="M250">
        <v>21</v>
      </c>
      <c r="N250" s="2">
        <f t="shared" si="34"/>
        <v>0.85288808664259919</v>
      </c>
      <c r="O250">
        <v>12</v>
      </c>
      <c r="P250" s="2">
        <f t="shared" si="35"/>
        <v>0.48736462093862815</v>
      </c>
      <c r="Q250" t="s">
        <v>224</v>
      </c>
      <c r="R250" t="s">
        <v>57</v>
      </c>
      <c r="S250">
        <v>1</v>
      </c>
      <c r="T250" s="2">
        <f t="shared" si="36"/>
        <v>4.0613718411552348E-2</v>
      </c>
      <c r="U250" s="2">
        <v>1.232539556920528</v>
      </c>
      <c r="V250" s="2">
        <f t="shared" si="37"/>
        <v>5.0058014495869815E-2</v>
      </c>
      <c r="W250" s="2">
        <v>8.8481121230870485</v>
      </c>
      <c r="X250" s="2">
        <f t="shared" si="38"/>
        <v>0.35935473424089998</v>
      </c>
      <c r="Y250" s="2">
        <v>8.138166825287044</v>
      </c>
      <c r="Z250" s="2">
        <f t="shared" si="39"/>
        <v>0.33052121582844496</v>
      </c>
      <c r="AA250">
        <v>2023</v>
      </c>
      <c r="AB250">
        <v>1</v>
      </c>
      <c r="AC250">
        <v>13000000</v>
      </c>
    </row>
    <row r="251" spans="1:29" x14ac:dyDescent="0.2">
      <c r="A251">
        <v>1642</v>
      </c>
      <c r="B251" t="s">
        <v>115</v>
      </c>
      <c r="C251">
        <v>31</v>
      </c>
      <c r="D251">
        <v>2597</v>
      </c>
      <c r="E251">
        <v>11</v>
      </c>
      <c r="F251" s="2">
        <f t="shared" si="30"/>
        <v>0.38120908740854831</v>
      </c>
      <c r="G251" s="2">
        <v>10.174191014841201</v>
      </c>
      <c r="H251" s="2">
        <f t="shared" si="31"/>
        <v>0.3525903701716242</v>
      </c>
      <c r="I251">
        <v>2</v>
      </c>
      <c r="J251" s="2">
        <f t="shared" si="32"/>
        <v>6.9310743165190605E-2</v>
      </c>
      <c r="K251" s="2">
        <v>1.856889957562089</v>
      </c>
      <c r="L251" s="2">
        <f t="shared" si="33"/>
        <v>6.4351211467303812E-2</v>
      </c>
      <c r="M251">
        <v>77</v>
      </c>
      <c r="N251" s="2">
        <f t="shared" si="34"/>
        <v>2.6684636118598384</v>
      </c>
      <c r="O251">
        <v>14</v>
      </c>
      <c r="P251" s="2">
        <f t="shared" si="35"/>
        <v>0.48517520215633425</v>
      </c>
      <c r="Q251" t="s">
        <v>222</v>
      </c>
      <c r="R251" t="s">
        <v>116</v>
      </c>
      <c r="S251">
        <v>10</v>
      </c>
      <c r="T251" s="2">
        <f t="shared" si="36"/>
        <v>0.34655371582595301</v>
      </c>
      <c r="U251" s="2">
        <v>8.6515920627862215</v>
      </c>
      <c r="V251" s="2">
        <f t="shared" si="37"/>
        <v>0.29982413771688871</v>
      </c>
      <c r="W251" s="2">
        <v>11.206031959503891</v>
      </c>
      <c r="X251" s="2">
        <f t="shared" si="38"/>
        <v>0.38834920152304586</v>
      </c>
      <c r="Y251" s="2">
        <v>1.612621705979109</v>
      </c>
      <c r="Z251" s="2">
        <f t="shared" si="39"/>
        <v>5.5886004442864776E-2</v>
      </c>
      <c r="AA251">
        <v>2014</v>
      </c>
      <c r="AB251">
        <v>0</v>
      </c>
      <c r="AC251">
        <v>11000000</v>
      </c>
    </row>
    <row r="252" spans="1:29" x14ac:dyDescent="0.2">
      <c r="A252">
        <v>1642</v>
      </c>
      <c r="B252" t="s">
        <v>115</v>
      </c>
      <c r="C252">
        <v>19</v>
      </c>
      <c r="D252">
        <v>643</v>
      </c>
      <c r="E252">
        <v>5</v>
      </c>
      <c r="F252" s="2">
        <f t="shared" si="30"/>
        <v>0.69984447900466562</v>
      </c>
      <c r="G252" s="2">
        <v>2.446644015610218</v>
      </c>
      <c r="H252" s="2">
        <f t="shared" si="31"/>
        <v>0.34245406128292322</v>
      </c>
      <c r="I252">
        <v>0</v>
      </c>
      <c r="J252" s="2">
        <f t="shared" si="32"/>
        <v>0</v>
      </c>
      <c r="K252" s="2">
        <v>0.33043880201876158</v>
      </c>
      <c r="L252" s="2">
        <f t="shared" si="33"/>
        <v>4.6251154248349205E-2</v>
      </c>
      <c r="M252">
        <v>30</v>
      </c>
      <c r="N252" s="2">
        <f t="shared" si="34"/>
        <v>4.1990668740279942</v>
      </c>
      <c r="O252">
        <v>6</v>
      </c>
      <c r="P252" s="2">
        <f t="shared" si="35"/>
        <v>0.83981337480559881</v>
      </c>
      <c r="Q252" t="s">
        <v>222</v>
      </c>
      <c r="R252" t="s">
        <v>117</v>
      </c>
      <c r="S252">
        <v>5</v>
      </c>
      <c r="T252" s="2">
        <f t="shared" si="36"/>
        <v>0.69984447900466562</v>
      </c>
      <c r="U252" s="2">
        <v>2.446644015610218</v>
      </c>
      <c r="V252" s="2">
        <f t="shared" si="37"/>
        <v>0.34245406128292322</v>
      </c>
      <c r="W252" s="2">
        <v>3.339343905448914</v>
      </c>
      <c r="X252" s="2">
        <f t="shared" si="38"/>
        <v>0.46740427914526012</v>
      </c>
      <c r="Y252" s="2">
        <v>0.78925589099526405</v>
      </c>
      <c r="Z252" s="2">
        <f t="shared" si="39"/>
        <v>0.11047127556698876</v>
      </c>
      <c r="AA252">
        <v>2015</v>
      </c>
      <c r="AB252">
        <v>0</v>
      </c>
      <c r="AC252">
        <v>15000000</v>
      </c>
    </row>
    <row r="253" spans="1:29" x14ac:dyDescent="0.2">
      <c r="A253">
        <v>1642</v>
      </c>
      <c r="B253" t="s">
        <v>115</v>
      </c>
      <c r="C253">
        <v>20</v>
      </c>
      <c r="D253">
        <v>1373</v>
      </c>
      <c r="E253">
        <v>6</v>
      </c>
      <c r="F253" s="2">
        <f t="shared" si="30"/>
        <v>0.3932993445010925</v>
      </c>
      <c r="G253" s="2">
        <v>6.6230111327022314</v>
      </c>
      <c r="H253" s="2">
        <f t="shared" si="31"/>
        <v>0.43413765618587097</v>
      </c>
      <c r="I253">
        <v>1</v>
      </c>
      <c r="J253" s="2">
        <f t="shared" si="32"/>
        <v>6.5549890750182083E-2</v>
      </c>
      <c r="K253" s="2">
        <v>0.85370545228943229</v>
      </c>
      <c r="L253" s="2">
        <f t="shared" si="33"/>
        <v>5.5960299130407072E-2</v>
      </c>
      <c r="M253">
        <v>60</v>
      </c>
      <c r="N253" s="2">
        <f t="shared" si="34"/>
        <v>3.9329934450109247</v>
      </c>
      <c r="O253">
        <v>12</v>
      </c>
      <c r="P253" s="2">
        <f t="shared" si="35"/>
        <v>0.78659868900218499</v>
      </c>
      <c r="Q253" t="s">
        <v>222</v>
      </c>
      <c r="R253" t="s">
        <v>72</v>
      </c>
      <c r="S253">
        <v>6</v>
      </c>
      <c r="T253" s="2">
        <f t="shared" si="36"/>
        <v>0.3932993445010925</v>
      </c>
      <c r="U253" s="2">
        <v>6.6230111327022314</v>
      </c>
      <c r="V253" s="2">
        <f t="shared" si="37"/>
        <v>0.43413765618587097</v>
      </c>
      <c r="W253" s="2">
        <v>7.9854129664599887</v>
      </c>
      <c r="X253" s="2">
        <f t="shared" si="38"/>
        <v>0.52344294754653964</v>
      </c>
      <c r="Y253" s="2">
        <v>1.9497795053757729</v>
      </c>
      <c r="Z253" s="2">
        <f t="shared" si="39"/>
        <v>0.12780783356432598</v>
      </c>
      <c r="AA253">
        <v>2016</v>
      </c>
      <c r="AB253">
        <v>1</v>
      </c>
      <c r="AC253">
        <v>16000000</v>
      </c>
    </row>
    <row r="254" spans="1:29" x14ac:dyDescent="0.2">
      <c r="A254">
        <v>1642</v>
      </c>
      <c r="B254" t="s">
        <v>115</v>
      </c>
      <c r="C254">
        <v>33</v>
      </c>
      <c r="D254">
        <v>2082</v>
      </c>
      <c r="E254">
        <v>13</v>
      </c>
      <c r="F254" s="2">
        <f t="shared" si="30"/>
        <v>0.56195965417867433</v>
      </c>
      <c r="G254" s="2">
        <v>10.359604505822061</v>
      </c>
      <c r="H254" s="2">
        <f t="shared" si="31"/>
        <v>0.44782152042458473</v>
      </c>
      <c r="I254">
        <v>1</v>
      </c>
      <c r="J254" s="2">
        <f t="shared" si="32"/>
        <v>4.3227665706051875E-2</v>
      </c>
      <c r="K254" s="2">
        <v>2.3537987545132641</v>
      </c>
      <c r="L254" s="2">
        <f t="shared" si="33"/>
        <v>0.10174922569942063</v>
      </c>
      <c r="M254">
        <v>72</v>
      </c>
      <c r="N254" s="2">
        <f t="shared" si="34"/>
        <v>3.1123919308357353</v>
      </c>
      <c r="O254">
        <v>15</v>
      </c>
      <c r="P254" s="2">
        <f t="shared" si="35"/>
        <v>0.64841498559077804</v>
      </c>
      <c r="Q254" t="s">
        <v>222</v>
      </c>
      <c r="R254" t="s">
        <v>72</v>
      </c>
      <c r="S254">
        <v>13</v>
      </c>
      <c r="T254" s="2">
        <f t="shared" si="36"/>
        <v>0.56195965417867433</v>
      </c>
      <c r="U254" s="2">
        <v>10.359604505822061</v>
      </c>
      <c r="V254" s="2">
        <f t="shared" si="37"/>
        <v>0.44782152042458473</v>
      </c>
      <c r="W254" s="2">
        <v>13.20799507945776</v>
      </c>
      <c r="X254" s="2">
        <f t="shared" si="38"/>
        <v>0.57095079594197806</v>
      </c>
      <c r="Y254" s="2">
        <v>2.7284964807331562</v>
      </c>
      <c r="Z254" s="2">
        <f t="shared" si="39"/>
        <v>0.11794653374927189</v>
      </c>
      <c r="AA254">
        <v>2017</v>
      </c>
      <c r="AB254">
        <v>1</v>
      </c>
      <c r="AC254">
        <v>22000000</v>
      </c>
    </row>
    <row r="255" spans="1:29" x14ac:dyDescent="0.2">
      <c r="A255">
        <v>1688</v>
      </c>
      <c r="B255" t="s">
        <v>118</v>
      </c>
      <c r="C255">
        <v>36</v>
      </c>
      <c r="D255">
        <v>3114</v>
      </c>
      <c r="E255">
        <v>2</v>
      </c>
      <c r="F255" s="2">
        <f t="shared" si="30"/>
        <v>5.7803468208092484E-2</v>
      </c>
      <c r="G255" s="2">
        <v>1.8145935954526069</v>
      </c>
      <c r="H255" s="2">
        <f t="shared" si="31"/>
        <v>5.2444901602676494E-2</v>
      </c>
      <c r="I255">
        <v>12</v>
      </c>
      <c r="J255" s="2">
        <f t="shared" si="32"/>
        <v>0.34682080924855491</v>
      </c>
      <c r="K255" s="2">
        <v>7.89749501273036</v>
      </c>
      <c r="L255" s="2">
        <f t="shared" si="33"/>
        <v>0.22825130094596413</v>
      </c>
      <c r="M255">
        <v>22</v>
      </c>
      <c r="N255" s="2">
        <f t="shared" si="34"/>
        <v>0.63583815028901736</v>
      </c>
      <c r="O255">
        <v>60</v>
      </c>
      <c r="P255" s="2">
        <f t="shared" si="35"/>
        <v>1.7341040462427744</v>
      </c>
      <c r="Q255" t="s">
        <v>224</v>
      </c>
      <c r="R255" t="s">
        <v>31</v>
      </c>
      <c r="S255">
        <v>2</v>
      </c>
      <c r="T255" s="2">
        <f t="shared" si="36"/>
        <v>5.7803468208092484E-2</v>
      </c>
      <c r="U255" s="2">
        <v>1.8145935954526069</v>
      </c>
      <c r="V255" s="2">
        <f t="shared" si="37"/>
        <v>5.2444901602676494E-2</v>
      </c>
      <c r="W255" s="2">
        <v>20.39600595086813</v>
      </c>
      <c r="X255" s="2">
        <f t="shared" si="38"/>
        <v>0.58947994077653554</v>
      </c>
      <c r="Y255" s="2">
        <v>15.31266527622938</v>
      </c>
      <c r="Z255" s="2">
        <f t="shared" si="39"/>
        <v>0.44256258023784334</v>
      </c>
      <c r="AA255">
        <v>2019</v>
      </c>
      <c r="AB255">
        <v>0</v>
      </c>
      <c r="AC255">
        <v>64000000</v>
      </c>
    </row>
    <row r="256" spans="1:29" x14ac:dyDescent="0.2">
      <c r="A256">
        <v>1688</v>
      </c>
      <c r="B256" t="s">
        <v>118</v>
      </c>
      <c r="C256">
        <v>38</v>
      </c>
      <c r="D256">
        <v>3391</v>
      </c>
      <c r="E256">
        <v>1</v>
      </c>
      <c r="F256" s="2">
        <f t="shared" si="30"/>
        <v>2.6540843409023889E-2</v>
      </c>
      <c r="G256" s="2">
        <v>1.4379339776933191</v>
      </c>
      <c r="H256" s="2">
        <f t="shared" si="31"/>
        <v>3.816398053447323E-2</v>
      </c>
      <c r="I256">
        <v>7</v>
      </c>
      <c r="J256" s="2">
        <f t="shared" si="32"/>
        <v>0.18578590386316721</v>
      </c>
      <c r="K256" s="2">
        <v>7.2204905468970537</v>
      </c>
      <c r="L256" s="2">
        <f t="shared" si="33"/>
        <v>0.19163790894153193</v>
      </c>
      <c r="M256">
        <v>19</v>
      </c>
      <c r="N256" s="2">
        <f t="shared" si="34"/>
        <v>0.50427602477145383</v>
      </c>
      <c r="O256">
        <v>65</v>
      </c>
      <c r="P256" s="2">
        <f t="shared" si="35"/>
        <v>1.7251548215865526</v>
      </c>
      <c r="Q256" t="s">
        <v>224</v>
      </c>
      <c r="R256" t="s">
        <v>31</v>
      </c>
      <c r="S256">
        <v>1</v>
      </c>
      <c r="T256" s="2">
        <f t="shared" si="36"/>
        <v>2.6540843409023889E-2</v>
      </c>
      <c r="U256" s="2">
        <v>1.4379339776933191</v>
      </c>
      <c r="V256" s="2">
        <f t="shared" si="37"/>
        <v>3.816398053447323E-2</v>
      </c>
      <c r="W256" s="2">
        <v>19.869475368410349</v>
      </c>
      <c r="X256" s="2">
        <f t="shared" si="38"/>
        <v>0.52735263437243629</v>
      </c>
      <c r="Y256" s="2">
        <v>15.435003930702811</v>
      </c>
      <c r="Z256" s="2">
        <f t="shared" si="39"/>
        <v>0.40965802234245152</v>
      </c>
      <c r="AA256">
        <v>2020</v>
      </c>
      <c r="AB256">
        <v>0</v>
      </c>
      <c r="AC256">
        <v>65000000</v>
      </c>
    </row>
    <row r="257" spans="1:29" x14ac:dyDescent="0.2">
      <c r="A257">
        <v>1688</v>
      </c>
      <c r="B257" t="s">
        <v>118</v>
      </c>
      <c r="C257">
        <v>29</v>
      </c>
      <c r="D257">
        <v>2550</v>
      </c>
      <c r="E257">
        <v>3</v>
      </c>
      <c r="F257" s="2">
        <f t="shared" si="30"/>
        <v>0.10588235294117646</v>
      </c>
      <c r="G257" s="2">
        <v>2.2711895797401671</v>
      </c>
      <c r="H257" s="2">
        <f t="shared" si="31"/>
        <v>8.0159632226123545E-2</v>
      </c>
      <c r="I257">
        <v>10</v>
      </c>
      <c r="J257" s="2">
        <f t="shared" si="32"/>
        <v>0.3529411764705882</v>
      </c>
      <c r="K257" s="2">
        <v>6.1975300321355462</v>
      </c>
      <c r="L257" s="2">
        <f t="shared" si="33"/>
        <v>0.21873635407537223</v>
      </c>
      <c r="M257">
        <v>19</v>
      </c>
      <c r="N257" s="2">
        <f t="shared" si="34"/>
        <v>0.67058823529411771</v>
      </c>
      <c r="O257">
        <v>55</v>
      </c>
      <c r="P257" s="2">
        <f t="shared" si="35"/>
        <v>1.9411764705882353</v>
      </c>
      <c r="Q257" t="s">
        <v>224</v>
      </c>
      <c r="R257" t="s">
        <v>31</v>
      </c>
      <c r="S257">
        <v>3</v>
      </c>
      <c r="T257" s="2">
        <f t="shared" si="36"/>
        <v>0.10588235294117646</v>
      </c>
      <c r="U257" s="2">
        <v>2.2711895797401671</v>
      </c>
      <c r="V257" s="2">
        <f t="shared" si="37"/>
        <v>8.0159632226123545E-2</v>
      </c>
      <c r="W257" s="2">
        <v>18.619658298790451</v>
      </c>
      <c r="X257" s="2">
        <f t="shared" si="38"/>
        <v>0.65716441054554531</v>
      </c>
      <c r="Y257" s="2">
        <v>14.27739267796278</v>
      </c>
      <c r="Z257" s="2">
        <f t="shared" si="39"/>
        <v>0.50390797686927458</v>
      </c>
      <c r="AA257">
        <v>2021</v>
      </c>
      <c r="AB257">
        <v>1</v>
      </c>
      <c r="AC257">
        <v>65000000</v>
      </c>
    </row>
    <row r="258" spans="1:29" x14ac:dyDescent="0.2">
      <c r="A258">
        <v>1688</v>
      </c>
      <c r="B258" t="s">
        <v>118</v>
      </c>
      <c r="C258">
        <v>34</v>
      </c>
      <c r="D258">
        <v>2609</v>
      </c>
      <c r="E258">
        <v>0</v>
      </c>
      <c r="F258" s="2">
        <f t="shared" si="30"/>
        <v>0</v>
      </c>
      <c r="G258" s="2">
        <v>1.0899251960217951</v>
      </c>
      <c r="H258" s="2">
        <f t="shared" si="31"/>
        <v>3.7598032825588941E-2</v>
      </c>
      <c r="I258">
        <v>8</v>
      </c>
      <c r="J258" s="2">
        <f t="shared" si="32"/>
        <v>0.27596780375622848</v>
      </c>
      <c r="K258" s="2">
        <v>6.8208567444235086</v>
      </c>
      <c r="L258" s="2">
        <f t="shared" si="33"/>
        <v>0.23529210693680178</v>
      </c>
      <c r="M258">
        <v>13</v>
      </c>
      <c r="N258" s="2">
        <f t="shared" si="34"/>
        <v>0.44844768110387123</v>
      </c>
      <c r="O258">
        <v>52</v>
      </c>
      <c r="P258" s="2">
        <f t="shared" si="35"/>
        <v>1.7937907244154849</v>
      </c>
      <c r="Q258" t="s">
        <v>224</v>
      </c>
      <c r="R258" t="s">
        <v>31</v>
      </c>
      <c r="S258">
        <v>0</v>
      </c>
      <c r="T258" s="2">
        <f t="shared" si="36"/>
        <v>0</v>
      </c>
      <c r="U258" s="2">
        <v>1.0899251960217951</v>
      </c>
      <c r="V258" s="2">
        <f t="shared" si="37"/>
        <v>3.7598032825588941E-2</v>
      </c>
      <c r="W258" s="2">
        <v>13.14507241174579</v>
      </c>
      <c r="X258" s="2">
        <f t="shared" si="38"/>
        <v>0.45345209546075932</v>
      </c>
      <c r="Y258" s="2">
        <v>10.34350525960326</v>
      </c>
      <c r="Z258" s="2">
        <f t="shared" si="39"/>
        <v>0.35680930370421365</v>
      </c>
      <c r="AA258">
        <v>2022</v>
      </c>
      <c r="AB258">
        <v>1</v>
      </c>
      <c r="AC258">
        <v>40000000</v>
      </c>
    </row>
    <row r="259" spans="1:29" x14ac:dyDescent="0.2">
      <c r="A259">
        <v>1710</v>
      </c>
      <c r="B259" t="s">
        <v>119</v>
      </c>
      <c r="C259">
        <v>35</v>
      </c>
      <c r="D259">
        <v>3021</v>
      </c>
      <c r="E259">
        <v>1</v>
      </c>
      <c r="F259" s="2">
        <f t="shared" ref="F259:F322" si="40">E259/D259*90</f>
        <v>2.9791459781529295E-2</v>
      </c>
      <c r="G259" s="2">
        <v>0.60059135407209396</v>
      </c>
      <c r="H259" s="2">
        <f t="shared" ref="H259:H322" si="41">G259/D259*90</f>
        <v>1.7892493169973007E-2</v>
      </c>
      <c r="I259">
        <v>1</v>
      </c>
      <c r="J259" s="2">
        <f t="shared" ref="J259:J322" si="42">I259/D259*90</f>
        <v>2.9791459781529295E-2</v>
      </c>
      <c r="K259" s="2">
        <v>1.142115412279963</v>
      </c>
      <c r="L259" s="2">
        <f t="shared" ref="L259:L322" si="43">K259/D259*90</f>
        <v>3.4025285370803272E-2</v>
      </c>
      <c r="M259">
        <v>17</v>
      </c>
      <c r="N259" s="2">
        <f t="shared" ref="N259:N322" si="44">M259/D259*90</f>
        <v>0.50645481628599809</v>
      </c>
      <c r="O259">
        <v>19</v>
      </c>
      <c r="P259" s="2">
        <f t="shared" ref="P259:P322" si="45">O259/D259*90</f>
        <v>0.56603773584905659</v>
      </c>
      <c r="Q259" t="s">
        <v>223</v>
      </c>
      <c r="R259" t="s">
        <v>93</v>
      </c>
      <c r="S259">
        <v>1</v>
      </c>
      <c r="T259" s="2">
        <f t="shared" ref="T259:T322" si="46">S259/D259*90</f>
        <v>2.9791459781529295E-2</v>
      </c>
      <c r="U259" s="2">
        <v>0.60059135407209396</v>
      </c>
      <c r="V259" s="2">
        <f t="shared" ref="V259:V322" si="47">U259/D259*90</f>
        <v>1.7892493169973007E-2</v>
      </c>
      <c r="W259" s="2">
        <v>17.31304134987295</v>
      </c>
      <c r="X259" s="2">
        <f t="shared" ref="X259:X322" si="48">W259/D259*90</f>
        <v>0.51578077507069364</v>
      </c>
      <c r="Y259" s="2">
        <v>16.027618052437901</v>
      </c>
      <c r="Z259" s="2">
        <f t="shared" ref="Z259:Z322" si="49">Y259/D259*90</f>
        <v>0.47748613860291667</v>
      </c>
      <c r="AA259">
        <v>2020</v>
      </c>
      <c r="AB259">
        <v>0</v>
      </c>
      <c r="AC259">
        <v>23000000</v>
      </c>
    </row>
    <row r="260" spans="1:29" x14ac:dyDescent="0.2">
      <c r="A260">
        <v>1710</v>
      </c>
      <c r="B260" t="s">
        <v>119</v>
      </c>
      <c r="C260">
        <v>30</v>
      </c>
      <c r="D260">
        <v>2546</v>
      </c>
      <c r="E260">
        <v>3</v>
      </c>
      <c r="F260" s="2">
        <f t="shared" si="40"/>
        <v>0.10604870384917518</v>
      </c>
      <c r="G260" s="2">
        <v>1.889123387634754</v>
      </c>
      <c r="H260" s="2">
        <f t="shared" si="41"/>
        <v>6.6779695556609522E-2</v>
      </c>
      <c r="I260">
        <v>0</v>
      </c>
      <c r="J260" s="2">
        <f t="shared" si="42"/>
        <v>0</v>
      </c>
      <c r="K260" s="2">
        <v>0.57557670027017593</v>
      </c>
      <c r="L260" s="2">
        <f t="shared" si="43"/>
        <v>2.0346387676479116E-2</v>
      </c>
      <c r="M260">
        <v>23</v>
      </c>
      <c r="N260" s="2">
        <f t="shared" si="44"/>
        <v>0.81304006284367636</v>
      </c>
      <c r="O260">
        <v>7</v>
      </c>
      <c r="P260" s="2">
        <f t="shared" si="45"/>
        <v>0.24744697564807541</v>
      </c>
      <c r="Q260" t="s">
        <v>223</v>
      </c>
      <c r="R260" t="s">
        <v>93</v>
      </c>
      <c r="S260">
        <v>3</v>
      </c>
      <c r="T260" s="2">
        <f t="shared" si="46"/>
        <v>0.10604870384917518</v>
      </c>
      <c r="U260" s="2">
        <v>1.889123387634754</v>
      </c>
      <c r="V260" s="2">
        <f t="shared" si="47"/>
        <v>6.6779695556609522E-2</v>
      </c>
      <c r="W260" s="2">
        <v>12.556700319051741</v>
      </c>
      <c r="X260" s="2">
        <f t="shared" si="48"/>
        <v>0.44387393115265383</v>
      </c>
      <c r="Y260" s="2">
        <v>11.18122202716768</v>
      </c>
      <c r="Z260" s="2">
        <f t="shared" si="49"/>
        <v>0.39525136781032644</v>
      </c>
      <c r="AA260">
        <v>2021</v>
      </c>
      <c r="AB260">
        <v>0</v>
      </c>
      <c r="AC260">
        <v>17000000</v>
      </c>
    </row>
    <row r="261" spans="1:29" x14ac:dyDescent="0.2">
      <c r="A261">
        <v>1710</v>
      </c>
      <c r="B261" t="s">
        <v>119</v>
      </c>
      <c r="C261">
        <v>35</v>
      </c>
      <c r="D261">
        <v>2972</v>
      </c>
      <c r="E261">
        <v>3</v>
      </c>
      <c r="F261" s="2">
        <f t="shared" si="40"/>
        <v>9.0847913862718704E-2</v>
      </c>
      <c r="G261" s="2">
        <v>1.271532180719078</v>
      </c>
      <c r="H261" s="2">
        <f t="shared" si="41"/>
        <v>3.8505348675880562E-2</v>
      </c>
      <c r="I261">
        <v>1</v>
      </c>
      <c r="J261" s="2">
        <f t="shared" si="42"/>
        <v>3.028263795423957E-2</v>
      </c>
      <c r="K261" s="2">
        <v>1.8695572568103671</v>
      </c>
      <c r="L261" s="2">
        <f t="shared" si="43"/>
        <v>5.6615125542709636E-2</v>
      </c>
      <c r="M261">
        <v>19</v>
      </c>
      <c r="N261" s="2">
        <f t="shared" si="44"/>
        <v>0.57537012113055175</v>
      </c>
      <c r="O261">
        <v>20</v>
      </c>
      <c r="P261" s="2">
        <f t="shared" si="45"/>
        <v>0.60565275908479144</v>
      </c>
      <c r="Q261" t="s">
        <v>223</v>
      </c>
      <c r="R261" t="s">
        <v>93</v>
      </c>
      <c r="S261">
        <v>3</v>
      </c>
      <c r="T261" s="2">
        <f t="shared" si="46"/>
        <v>9.0847913862718704E-2</v>
      </c>
      <c r="U261" s="2">
        <v>1.271532180719078</v>
      </c>
      <c r="V261" s="2">
        <f t="shared" si="47"/>
        <v>3.8505348675880562E-2</v>
      </c>
      <c r="W261" s="2">
        <v>13.787289805710319</v>
      </c>
      <c r="X261" s="2">
        <f t="shared" si="48"/>
        <v>0.41751550555650357</v>
      </c>
      <c r="Y261" s="2">
        <v>11.08404406532645</v>
      </c>
      <c r="Z261" s="2">
        <f t="shared" si="49"/>
        <v>0.33565409349911862</v>
      </c>
      <c r="AA261">
        <v>2022</v>
      </c>
      <c r="AB261">
        <v>1</v>
      </c>
      <c r="AC261">
        <v>10000000</v>
      </c>
    </row>
    <row r="262" spans="1:29" x14ac:dyDescent="0.2">
      <c r="A262">
        <v>1710</v>
      </c>
      <c r="B262" t="s">
        <v>119</v>
      </c>
      <c r="C262">
        <v>30</v>
      </c>
      <c r="D262">
        <v>2598</v>
      </c>
      <c r="E262">
        <v>0</v>
      </c>
      <c r="F262" s="2">
        <f t="shared" si="40"/>
        <v>0</v>
      </c>
      <c r="G262" s="2">
        <v>0.60614624992012978</v>
      </c>
      <c r="H262" s="2">
        <f t="shared" si="41"/>
        <v>2.0998137987995259E-2</v>
      </c>
      <c r="I262">
        <v>5</v>
      </c>
      <c r="J262" s="2">
        <f t="shared" si="42"/>
        <v>0.17321016166281755</v>
      </c>
      <c r="K262" s="2">
        <v>1.544055964797735</v>
      </c>
      <c r="L262" s="2">
        <f t="shared" si="43"/>
        <v>5.3489236655810686E-2</v>
      </c>
      <c r="M262">
        <v>16</v>
      </c>
      <c r="N262" s="2">
        <f t="shared" si="44"/>
        <v>0.55427251732101612</v>
      </c>
      <c r="O262">
        <v>23</v>
      </c>
      <c r="P262" s="2">
        <f t="shared" si="45"/>
        <v>0.79676674364896072</v>
      </c>
      <c r="Q262" t="s">
        <v>223</v>
      </c>
      <c r="R262" t="s">
        <v>93</v>
      </c>
      <c r="S262">
        <v>0</v>
      </c>
      <c r="T262" s="2">
        <f t="shared" si="46"/>
        <v>0</v>
      </c>
      <c r="U262" s="2">
        <v>0.60614624992012978</v>
      </c>
      <c r="V262" s="2">
        <f t="shared" si="47"/>
        <v>2.0998137987995259E-2</v>
      </c>
      <c r="W262" s="2">
        <v>10.940142475068569</v>
      </c>
      <c r="X262" s="2">
        <f t="shared" si="48"/>
        <v>0.37898876934417675</v>
      </c>
      <c r="Y262" s="2">
        <v>9.3929458670318127</v>
      </c>
      <c r="Z262" s="2">
        <f t="shared" si="49"/>
        <v>0.32539073442373484</v>
      </c>
      <c r="AA262">
        <v>2023</v>
      </c>
      <c r="AB262">
        <v>1</v>
      </c>
      <c r="AC262">
        <v>7000000</v>
      </c>
    </row>
    <row r="263" spans="1:29" x14ac:dyDescent="0.2">
      <c r="A263">
        <v>1776</v>
      </c>
      <c r="B263" t="s">
        <v>120</v>
      </c>
      <c r="C263">
        <v>38</v>
      </c>
      <c r="D263">
        <v>2599</v>
      </c>
      <c r="E263">
        <v>8</v>
      </c>
      <c r="F263" s="2">
        <f t="shared" si="40"/>
        <v>0.27702962677953058</v>
      </c>
      <c r="G263" s="2">
        <v>7.9888969715684652</v>
      </c>
      <c r="H263" s="2">
        <f t="shared" si="41"/>
        <v>0.27664514330171674</v>
      </c>
      <c r="I263">
        <v>5</v>
      </c>
      <c r="J263" s="2">
        <f t="shared" si="42"/>
        <v>0.17314351673720663</v>
      </c>
      <c r="K263" s="2">
        <v>5.2294753594323993</v>
      </c>
      <c r="L263" s="2">
        <f t="shared" si="43"/>
        <v>0.18108995088453864</v>
      </c>
      <c r="M263">
        <v>55</v>
      </c>
      <c r="N263" s="2">
        <f t="shared" si="44"/>
        <v>1.9045786841092727</v>
      </c>
      <c r="O263">
        <v>29</v>
      </c>
      <c r="P263" s="2">
        <f t="shared" si="45"/>
        <v>1.0042323970757985</v>
      </c>
      <c r="Q263" t="s">
        <v>222</v>
      </c>
      <c r="R263" t="s">
        <v>62</v>
      </c>
      <c r="S263">
        <v>8</v>
      </c>
      <c r="T263" s="2">
        <f t="shared" si="46"/>
        <v>0.27702962677953058</v>
      </c>
      <c r="U263" s="2">
        <v>7.9888969715684652</v>
      </c>
      <c r="V263" s="2">
        <f t="shared" si="47"/>
        <v>0.27664514330171674</v>
      </c>
      <c r="W263" s="2">
        <v>14.17194547783583</v>
      </c>
      <c r="X263" s="2">
        <f t="shared" si="48"/>
        <v>0.49075609580808954</v>
      </c>
      <c r="Y263" s="2">
        <v>3.096994637511671</v>
      </c>
      <c r="Z263" s="2">
        <f t="shared" si="49"/>
        <v>0.10724490857100823</v>
      </c>
      <c r="AA263">
        <v>2020</v>
      </c>
      <c r="AB263">
        <v>0</v>
      </c>
      <c r="AC263">
        <v>30000000</v>
      </c>
    </row>
    <row r="264" spans="1:29" x14ac:dyDescent="0.2">
      <c r="A264">
        <v>1776</v>
      </c>
      <c r="B264" t="s">
        <v>120</v>
      </c>
      <c r="C264">
        <v>36</v>
      </c>
      <c r="D264">
        <v>3003</v>
      </c>
      <c r="E264">
        <v>12</v>
      </c>
      <c r="F264" s="2">
        <f t="shared" si="40"/>
        <v>0.35964035964035962</v>
      </c>
      <c r="G264" s="2">
        <v>12.92943012341857</v>
      </c>
      <c r="H264" s="2">
        <f t="shared" si="41"/>
        <v>0.38749540829426282</v>
      </c>
      <c r="I264">
        <v>10</v>
      </c>
      <c r="J264" s="2">
        <f t="shared" si="42"/>
        <v>0.29970029970029971</v>
      </c>
      <c r="K264" s="2">
        <v>5.8197460696101189</v>
      </c>
      <c r="L264" s="2">
        <f t="shared" si="43"/>
        <v>0.17441796412417937</v>
      </c>
      <c r="M264">
        <v>80</v>
      </c>
      <c r="N264" s="2">
        <f t="shared" si="44"/>
        <v>2.3976023976023977</v>
      </c>
      <c r="O264">
        <v>41</v>
      </c>
      <c r="P264" s="2">
        <f t="shared" si="45"/>
        <v>1.2287712287712289</v>
      </c>
      <c r="Q264" t="s">
        <v>222</v>
      </c>
      <c r="R264" t="s">
        <v>62</v>
      </c>
      <c r="S264">
        <v>12</v>
      </c>
      <c r="T264" s="2">
        <f t="shared" si="46"/>
        <v>0.35964035964035962</v>
      </c>
      <c r="U264" s="2">
        <v>12.92943012341857</v>
      </c>
      <c r="V264" s="2">
        <f t="shared" si="47"/>
        <v>0.38749540829426282</v>
      </c>
      <c r="W264" s="2">
        <v>21.700689913704991</v>
      </c>
      <c r="X264" s="2">
        <f t="shared" si="48"/>
        <v>0.65037032708406561</v>
      </c>
      <c r="Y264" s="2">
        <v>6.5497220447286963</v>
      </c>
      <c r="Z264" s="2">
        <f t="shared" si="49"/>
        <v>0.19629536597588501</v>
      </c>
      <c r="AA264">
        <v>2021</v>
      </c>
      <c r="AB264">
        <v>0</v>
      </c>
      <c r="AC264">
        <v>42000000</v>
      </c>
    </row>
    <row r="265" spans="1:29" x14ac:dyDescent="0.2">
      <c r="A265">
        <v>1776</v>
      </c>
      <c r="B265" t="s">
        <v>120</v>
      </c>
      <c r="C265">
        <v>38</v>
      </c>
      <c r="D265">
        <v>3245</v>
      </c>
      <c r="E265">
        <v>6</v>
      </c>
      <c r="F265" s="2">
        <f t="shared" si="40"/>
        <v>0.16640986132511557</v>
      </c>
      <c r="G265" s="2">
        <v>10.004229810088869</v>
      </c>
      <c r="H265" s="2">
        <f t="shared" si="41"/>
        <v>0.27746708256024599</v>
      </c>
      <c r="I265">
        <v>5</v>
      </c>
      <c r="J265" s="2">
        <f t="shared" si="42"/>
        <v>0.13867488443759632</v>
      </c>
      <c r="K265" s="2">
        <v>6.9073901996016502</v>
      </c>
      <c r="L265" s="2">
        <f t="shared" si="43"/>
        <v>0.1915763075390288</v>
      </c>
      <c r="M265">
        <v>75</v>
      </c>
      <c r="N265" s="2">
        <f t="shared" si="44"/>
        <v>2.0801232665639446</v>
      </c>
      <c r="O265">
        <v>48</v>
      </c>
      <c r="P265" s="2">
        <f t="shared" si="45"/>
        <v>1.3312788906009245</v>
      </c>
      <c r="Q265" t="s">
        <v>222</v>
      </c>
      <c r="R265" t="s">
        <v>62</v>
      </c>
      <c r="S265">
        <v>5</v>
      </c>
      <c r="T265" s="2">
        <f t="shared" si="46"/>
        <v>0.13867488443759632</v>
      </c>
      <c r="U265" s="2">
        <v>8.4818904716521502</v>
      </c>
      <c r="V265" s="2">
        <f t="shared" si="47"/>
        <v>0.23524503619374224</v>
      </c>
      <c r="W265" s="2">
        <v>15.171011984348301</v>
      </c>
      <c r="X265" s="2">
        <f t="shared" si="48"/>
        <v>0.42076766674617783</v>
      </c>
      <c r="Y265" s="2">
        <v>3.6215272583067422</v>
      </c>
      <c r="Z265" s="2">
        <f t="shared" si="49"/>
        <v>0.10044297480665849</v>
      </c>
      <c r="AA265">
        <v>2022</v>
      </c>
      <c r="AB265">
        <v>1</v>
      </c>
      <c r="AC265">
        <v>38000000</v>
      </c>
    </row>
    <row r="266" spans="1:29" x14ac:dyDescent="0.2">
      <c r="A266">
        <v>1776</v>
      </c>
      <c r="B266" t="s">
        <v>120</v>
      </c>
      <c r="C266">
        <v>34</v>
      </c>
      <c r="D266">
        <v>3026</v>
      </c>
      <c r="E266">
        <v>16</v>
      </c>
      <c r="F266" s="2">
        <f t="shared" si="40"/>
        <v>0.47587574355584927</v>
      </c>
      <c r="G266" s="2">
        <v>13.49863642081618</v>
      </c>
      <c r="H266" s="2">
        <f t="shared" si="41"/>
        <v>0.40147960273412298</v>
      </c>
      <c r="I266">
        <v>6</v>
      </c>
      <c r="J266" s="2">
        <f t="shared" si="42"/>
        <v>0.17845340383344349</v>
      </c>
      <c r="K266" s="2">
        <v>6.4377079587429762</v>
      </c>
      <c r="L266" s="2">
        <f t="shared" si="43"/>
        <v>0.19147181635388894</v>
      </c>
      <c r="M266">
        <v>85</v>
      </c>
      <c r="N266" s="2">
        <f t="shared" si="44"/>
        <v>2.5280898876404492</v>
      </c>
      <c r="O266">
        <v>32</v>
      </c>
      <c r="P266" s="2">
        <f t="shared" si="45"/>
        <v>0.95175148711169855</v>
      </c>
      <c r="Q266" t="s">
        <v>222</v>
      </c>
      <c r="R266" t="s">
        <v>62</v>
      </c>
      <c r="S266">
        <v>16</v>
      </c>
      <c r="T266" s="2">
        <f t="shared" si="46"/>
        <v>0.47587574355584927</v>
      </c>
      <c r="U266" s="2">
        <v>13.49863642081618</v>
      </c>
      <c r="V266" s="2">
        <f t="shared" si="47"/>
        <v>0.40147960273412298</v>
      </c>
      <c r="W266" s="2">
        <v>17.769425924867392</v>
      </c>
      <c r="X266" s="2">
        <f t="shared" si="48"/>
        <v>0.52850242340980347</v>
      </c>
      <c r="Y266" s="2">
        <v>2.4570546299219131</v>
      </c>
      <c r="Z266" s="2">
        <f t="shared" si="49"/>
        <v>7.3078293685714543E-2</v>
      </c>
      <c r="AA266">
        <v>2023</v>
      </c>
      <c r="AB266">
        <v>1</v>
      </c>
      <c r="AC266">
        <v>50000000</v>
      </c>
    </row>
    <row r="267" spans="1:29" x14ac:dyDescent="0.2">
      <c r="A267">
        <v>1791</v>
      </c>
      <c r="B267" t="s">
        <v>121</v>
      </c>
      <c r="C267">
        <v>38</v>
      </c>
      <c r="D267">
        <v>3183</v>
      </c>
      <c r="E267">
        <v>4</v>
      </c>
      <c r="F267" s="2">
        <f t="shared" si="40"/>
        <v>0.11310084825636192</v>
      </c>
      <c r="G267" s="2">
        <v>3.0844596643000841</v>
      </c>
      <c r="H267" s="2">
        <f t="shared" si="41"/>
        <v>8.7213751111218221E-2</v>
      </c>
      <c r="I267">
        <v>13</v>
      </c>
      <c r="J267" s="2">
        <f t="shared" si="42"/>
        <v>0.36757775683317628</v>
      </c>
      <c r="K267" s="2">
        <v>11.16696412488818</v>
      </c>
      <c r="L267" s="2">
        <f t="shared" si="43"/>
        <v>0.31574827874330386</v>
      </c>
      <c r="M267">
        <v>45</v>
      </c>
      <c r="N267" s="2">
        <f t="shared" si="44"/>
        <v>1.2723845428840717</v>
      </c>
      <c r="O267">
        <v>86</v>
      </c>
      <c r="P267" s="2">
        <f t="shared" si="45"/>
        <v>2.4316682375117811</v>
      </c>
      <c r="Q267" t="s">
        <v>224</v>
      </c>
      <c r="R267" t="s">
        <v>31</v>
      </c>
      <c r="S267">
        <v>4</v>
      </c>
      <c r="T267" s="2">
        <f t="shared" si="46"/>
        <v>0.11310084825636192</v>
      </c>
      <c r="U267" s="2">
        <v>3.0844596643000841</v>
      </c>
      <c r="V267" s="2">
        <f t="shared" si="47"/>
        <v>8.7213751111218221E-2</v>
      </c>
      <c r="W267" s="2">
        <v>20.636693626642231</v>
      </c>
      <c r="X267" s="2">
        <f t="shared" si="48"/>
        <v>0.58350688859497357</v>
      </c>
      <c r="Y267" s="2">
        <v>13.59705323725939</v>
      </c>
      <c r="Z267" s="2">
        <f t="shared" si="49"/>
        <v>0.38445956373023721</v>
      </c>
      <c r="AA267">
        <v>2019</v>
      </c>
      <c r="AB267">
        <v>0</v>
      </c>
      <c r="AC267">
        <v>110000000</v>
      </c>
    </row>
    <row r="268" spans="1:29" x14ac:dyDescent="0.2">
      <c r="A268">
        <v>1791</v>
      </c>
      <c r="B268" t="s">
        <v>121</v>
      </c>
      <c r="C268">
        <v>36</v>
      </c>
      <c r="D268">
        <v>3040</v>
      </c>
      <c r="E268">
        <v>2</v>
      </c>
      <c r="F268" s="2">
        <f t="shared" si="40"/>
        <v>5.921052631578947E-2</v>
      </c>
      <c r="G268" s="2">
        <v>2.593059585429728</v>
      </c>
      <c r="H268" s="2">
        <f t="shared" si="41"/>
        <v>7.6768211410748535E-2</v>
      </c>
      <c r="I268">
        <v>7</v>
      </c>
      <c r="J268" s="2">
        <f t="shared" si="42"/>
        <v>0.20723684210526314</v>
      </c>
      <c r="K268" s="2">
        <v>8.5763670355081558</v>
      </c>
      <c r="L268" s="2">
        <f t="shared" si="43"/>
        <v>0.2539056030249125</v>
      </c>
      <c r="M268">
        <v>55</v>
      </c>
      <c r="N268" s="2">
        <f t="shared" si="44"/>
        <v>1.6282894736842106</v>
      </c>
      <c r="O268">
        <v>77</v>
      </c>
      <c r="P268" s="2">
        <f t="shared" si="45"/>
        <v>2.2796052631578947</v>
      </c>
      <c r="Q268" t="s">
        <v>224</v>
      </c>
      <c r="R268" t="s">
        <v>31</v>
      </c>
      <c r="S268">
        <v>2</v>
      </c>
      <c r="T268" s="2">
        <f t="shared" si="46"/>
        <v>5.921052631578947E-2</v>
      </c>
      <c r="U268" s="2">
        <v>2.593059585429728</v>
      </c>
      <c r="V268" s="2">
        <f t="shared" si="47"/>
        <v>7.6768211410748535E-2</v>
      </c>
      <c r="W268" s="2">
        <v>23.107888992875811</v>
      </c>
      <c r="X268" s="2">
        <f t="shared" si="48"/>
        <v>0.68411513465750762</v>
      </c>
      <c r="Y268" s="2">
        <v>17.648911455646161</v>
      </c>
      <c r="Z268" s="2">
        <f t="shared" si="49"/>
        <v>0.52250066809478768</v>
      </c>
      <c r="AA268">
        <v>2020</v>
      </c>
      <c r="AB268">
        <v>0</v>
      </c>
      <c r="AC268">
        <v>75000000</v>
      </c>
    </row>
    <row r="269" spans="1:29" x14ac:dyDescent="0.2">
      <c r="A269">
        <v>1791</v>
      </c>
      <c r="B269" t="s">
        <v>121</v>
      </c>
      <c r="C269">
        <v>32</v>
      </c>
      <c r="D269">
        <v>2856</v>
      </c>
      <c r="E269">
        <v>2</v>
      </c>
      <c r="F269" s="2">
        <f t="shared" si="40"/>
        <v>6.3025210084033612E-2</v>
      </c>
      <c r="G269" s="2">
        <v>2.1920716073364019</v>
      </c>
      <c r="H269" s="2">
        <f t="shared" si="41"/>
        <v>6.9077886785810991E-2</v>
      </c>
      <c r="I269">
        <v>12</v>
      </c>
      <c r="J269" s="2">
        <f t="shared" si="42"/>
        <v>0.37815126050420167</v>
      </c>
      <c r="K269" s="2">
        <v>12.687636416405439</v>
      </c>
      <c r="L269" s="2">
        <f t="shared" si="43"/>
        <v>0.39982047530689413</v>
      </c>
      <c r="M269">
        <v>51</v>
      </c>
      <c r="N269" s="2">
        <f t="shared" si="44"/>
        <v>1.607142857142857</v>
      </c>
      <c r="O269">
        <v>90</v>
      </c>
      <c r="P269" s="2">
        <f t="shared" si="45"/>
        <v>2.8361344537815123</v>
      </c>
      <c r="Q269" t="s">
        <v>224</v>
      </c>
      <c r="R269" t="s">
        <v>31</v>
      </c>
      <c r="S269">
        <v>2</v>
      </c>
      <c r="T269" s="2">
        <f t="shared" si="46"/>
        <v>6.3025210084033612E-2</v>
      </c>
      <c r="U269" s="2">
        <v>2.1920716073364019</v>
      </c>
      <c r="V269" s="2">
        <f t="shared" si="47"/>
        <v>6.9077886785810991E-2</v>
      </c>
      <c r="W269" s="2">
        <v>21.091294214129451</v>
      </c>
      <c r="X269" s="2">
        <f t="shared" si="48"/>
        <v>0.66464162439483565</v>
      </c>
      <c r="Y269" s="2">
        <v>11.98893332667649</v>
      </c>
      <c r="Z269" s="2">
        <f t="shared" si="49"/>
        <v>0.37780252079862892</v>
      </c>
      <c r="AA269">
        <v>2021</v>
      </c>
      <c r="AB269">
        <v>1</v>
      </c>
      <c r="AC269">
        <v>80000000</v>
      </c>
    </row>
    <row r="270" spans="1:29" x14ac:dyDescent="0.2">
      <c r="A270">
        <v>1791</v>
      </c>
      <c r="B270" t="s">
        <v>121</v>
      </c>
      <c r="C270">
        <v>37</v>
      </c>
      <c r="D270">
        <v>2954</v>
      </c>
      <c r="E270">
        <v>2</v>
      </c>
      <c r="F270" s="2">
        <f t="shared" si="40"/>
        <v>6.0934326337169935E-2</v>
      </c>
      <c r="G270" s="2">
        <v>1.87888909317553</v>
      </c>
      <c r="H270" s="2">
        <f t="shared" si="41"/>
        <v>5.724442057745352E-2</v>
      </c>
      <c r="I270">
        <v>9</v>
      </c>
      <c r="J270" s="2">
        <f t="shared" si="42"/>
        <v>0.27420446851726471</v>
      </c>
      <c r="K270" s="2">
        <v>13.22244131751358</v>
      </c>
      <c r="L270" s="2">
        <f t="shared" si="43"/>
        <v>0.40285027710772586</v>
      </c>
      <c r="M270">
        <v>40</v>
      </c>
      <c r="N270" s="2">
        <f t="shared" si="44"/>
        <v>1.2186865267433988</v>
      </c>
      <c r="O270">
        <v>71</v>
      </c>
      <c r="P270" s="2">
        <f t="shared" si="45"/>
        <v>2.1631685849695326</v>
      </c>
      <c r="Q270" t="s">
        <v>224</v>
      </c>
      <c r="R270" t="s">
        <v>31</v>
      </c>
      <c r="S270">
        <v>2</v>
      </c>
      <c r="T270" s="2">
        <f t="shared" si="46"/>
        <v>6.0934326337169935E-2</v>
      </c>
      <c r="U270" s="2">
        <v>1.87888909317553</v>
      </c>
      <c r="V270" s="2">
        <f t="shared" si="47"/>
        <v>5.724442057745352E-2</v>
      </c>
      <c r="W270" s="2">
        <v>21.868592441082001</v>
      </c>
      <c r="X270" s="2">
        <f t="shared" si="48"/>
        <v>0.66627397416972922</v>
      </c>
      <c r="Y270" s="2">
        <v>16.189754247665409</v>
      </c>
      <c r="Z270" s="2">
        <f t="shared" si="49"/>
        <v>0.49325588432291362</v>
      </c>
      <c r="AA270">
        <v>2022</v>
      </c>
      <c r="AB270">
        <v>1</v>
      </c>
      <c r="AC270">
        <v>65000000</v>
      </c>
    </row>
    <row r="271" spans="1:29" x14ac:dyDescent="0.2">
      <c r="A271">
        <v>1800</v>
      </c>
      <c r="B271" t="s">
        <v>122</v>
      </c>
      <c r="C271">
        <v>33</v>
      </c>
      <c r="D271">
        <v>2970</v>
      </c>
      <c r="E271">
        <v>0</v>
      </c>
      <c r="F271" s="2">
        <f t="shared" si="40"/>
        <v>0</v>
      </c>
      <c r="G271" s="2">
        <v>1.378280802164227</v>
      </c>
      <c r="H271" s="2">
        <f t="shared" si="41"/>
        <v>4.1766084914067483E-2</v>
      </c>
      <c r="I271">
        <v>0</v>
      </c>
      <c r="J271" s="2">
        <f t="shared" si="42"/>
        <v>0</v>
      </c>
      <c r="K271" s="2">
        <v>0.249721908941865</v>
      </c>
      <c r="L271" s="2">
        <f t="shared" si="43"/>
        <v>7.5673305739959087E-3</v>
      </c>
      <c r="M271">
        <v>19</v>
      </c>
      <c r="N271" s="2">
        <f t="shared" si="44"/>
        <v>0.57575757575757569</v>
      </c>
      <c r="O271">
        <v>4</v>
      </c>
      <c r="P271" s="2">
        <f t="shared" si="45"/>
        <v>0.12121212121212122</v>
      </c>
      <c r="Q271" t="s">
        <v>224</v>
      </c>
      <c r="R271" t="s">
        <v>123</v>
      </c>
      <c r="S271">
        <v>0</v>
      </c>
      <c r="T271" s="2">
        <f t="shared" si="46"/>
        <v>0</v>
      </c>
      <c r="U271" s="2">
        <v>1.378280802164227</v>
      </c>
      <c r="V271" s="2">
        <f t="shared" si="47"/>
        <v>4.1766084914067483E-2</v>
      </c>
      <c r="W271" s="2">
        <v>6.3407692238688469</v>
      </c>
      <c r="X271" s="2">
        <f t="shared" si="48"/>
        <v>0.19214452193541959</v>
      </c>
      <c r="Y271" s="2">
        <v>6.1515519339591256</v>
      </c>
      <c r="Z271" s="2">
        <f t="shared" si="49"/>
        <v>0.18641066466542805</v>
      </c>
      <c r="AA271">
        <v>2015</v>
      </c>
      <c r="AB271">
        <v>0</v>
      </c>
      <c r="AC271">
        <v>11000000</v>
      </c>
    </row>
    <row r="272" spans="1:29" x14ac:dyDescent="0.2">
      <c r="A272">
        <v>1800</v>
      </c>
      <c r="B272" t="s">
        <v>122</v>
      </c>
      <c r="C272">
        <v>36</v>
      </c>
      <c r="D272">
        <v>3240</v>
      </c>
      <c r="E272">
        <v>6</v>
      </c>
      <c r="F272" s="2">
        <f t="shared" si="40"/>
        <v>0.16666666666666669</v>
      </c>
      <c r="G272" s="2">
        <v>3.8814023584127431</v>
      </c>
      <c r="H272" s="2">
        <f t="shared" si="41"/>
        <v>0.10781673217813174</v>
      </c>
      <c r="I272">
        <v>2</v>
      </c>
      <c r="J272" s="2">
        <f t="shared" si="42"/>
        <v>5.5555555555555552E-2</v>
      </c>
      <c r="K272" s="2">
        <v>0.96657581068575382</v>
      </c>
      <c r="L272" s="2">
        <f t="shared" si="43"/>
        <v>2.6849328074604273E-2</v>
      </c>
      <c r="M272">
        <v>24</v>
      </c>
      <c r="N272" s="2">
        <f t="shared" si="44"/>
        <v>0.66666666666666674</v>
      </c>
      <c r="O272">
        <v>6</v>
      </c>
      <c r="P272" s="2">
        <f t="shared" si="45"/>
        <v>0.16666666666666669</v>
      </c>
      <c r="Q272" t="s">
        <v>224</v>
      </c>
      <c r="R272" t="s">
        <v>124</v>
      </c>
      <c r="S272">
        <v>6</v>
      </c>
      <c r="T272" s="2">
        <f t="shared" si="46"/>
        <v>0.16666666666666669</v>
      </c>
      <c r="U272" s="2">
        <v>3.8814023584127431</v>
      </c>
      <c r="V272" s="2">
        <f t="shared" si="47"/>
        <v>0.10781673217813174</v>
      </c>
      <c r="W272" s="2">
        <v>6.1850751284509897</v>
      </c>
      <c r="X272" s="2">
        <f t="shared" si="48"/>
        <v>0.17180764245697194</v>
      </c>
      <c r="Y272" s="2">
        <v>6.1850751284509897</v>
      </c>
      <c r="Z272" s="2">
        <f t="shared" si="49"/>
        <v>0.17180764245697194</v>
      </c>
      <c r="AA272">
        <v>2016</v>
      </c>
      <c r="AB272">
        <v>0</v>
      </c>
      <c r="AC272">
        <v>18000000</v>
      </c>
    </row>
    <row r="273" spans="1:29" x14ac:dyDescent="0.2">
      <c r="A273">
        <v>1800</v>
      </c>
      <c r="B273" t="s">
        <v>122</v>
      </c>
      <c r="C273">
        <v>36</v>
      </c>
      <c r="D273">
        <v>3240</v>
      </c>
      <c r="E273">
        <v>3</v>
      </c>
      <c r="F273" s="2">
        <f t="shared" si="40"/>
        <v>8.3333333333333343E-2</v>
      </c>
      <c r="G273" s="2">
        <v>3.0869818832725291</v>
      </c>
      <c r="H273" s="2">
        <f t="shared" si="41"/>
        <v>8.5749496757570251E-2</v>
      </c>
      <c r="I273">
        <v>3</v>
      </c>
      <c r="J273" s="2">
        <f t="shared" si="42"/>
        <v>8.3333333333333343E-2</v>
      </c>
      <c r="K273" s="2">
        <v>1.9664212577044959</v>
      </c>
      <c r="L273" s="2">
        <f t="shared" si="43"/>
        <v>5.4622812714013771E-2</v>
      </c>
      <c r="M273">
        <v>23</v>
      </c>
      <c r="N273" s="2">
        <f t="shared" si="44"/>
        <v>0.63888888888888895</v>
      </c>
      <c r="O273">
        <v>8</v>
      </c>
      <c r="P273" s="2">
        <f t="shared" si="45"/>
        <v>0.22222222222222221</v>
      </c>
      <c r="Q273" t="s">
        <v>224</v>
      </c>
      <c r="R273" t="s">
        <v>124</v>
      </c>
      <c r="S273">
        <v>3</v>
      </c>
      <c r="T273" s="2">
        <f t="shared" si="46"/>
        <v>8.3333333333333343E-2</v>
      </c>
      <c r="U273" s="2">
        <v>3.0869818832725291</v>
      </c>
      <c r="V273" s="2">
        <f t="shared" si="47"/>
        <v>8.5749496757570251E-2</v>
      </c>
      <c r="W273" s="2">
        <v>6.9325927337631583</v>
      </c>
      <c r="X273" s="2">
        <f t="shared" si="48"/>
        <v>0.19257202038230994</v>
      </c>
      <c r="Y273" s="2">
        <v>6.4385714298114181</v>
      </c>
      <c r="Z273" s="2">
        <f t="shared" si="49"/>
        <v>0.17884920638365048</v>
      </c>
      <c r="AA273">
        <v>2017</v>
      </c>
      <c r="AB273">
        <v>1</v>
      </c>
      <c r="AC273">
        <v>18000000</v>
      </c>
    </row>
    <row r="274" spans="1:29" x14ac:dyDescent="0.2">
      <c r="A274">
        <v>1800</v>
      </c>
      <c r="B274" t="s">
        <v>122</v>
      </c>
      <c r="C274">
        <v>33</v>
      </c>
      <c r="D274">
        <v>2970</v>
      </c>
      <c r="E274">
        <v>1</v>
      </c>
      <c r="F274" s="2">
        <f t="shared" si="40"/>
        <v>3.0303030303030304E-2</v>
      </c>
      <c r="G274" s="2">
        <v>1.2985905315727</v>
      </c>
      <c r="H274" s="2">
        <f t="shared" si="41"/>
        <v>3.935122822947576E-2</v>
      </c>
      <c r="I274">
        <v>0</v>
      </c>
      <c r="J274" s="2">
        <f t="shared" si="42"/>
        <v>0</v>
      </c>
      <c r="K274" s="2">
        <v>5.2187599241733551E-2</v>
      </c>
      <c r="L274" s="2">
        <f t="shared" si="43"/>
        <v>1.581442401264653E-3</v>
      </c>
      <c r="M274">
        <v>16</v>
      </c>
      <c r="N274" s="2">
        <f t="shared" si="44"/>
        <v>0.48484848484848486</v>
      </c>
      <c r="O274">
        <v>2</v>
      </c>
      <c r="P274" s="2">
        <f t="shared" si="45"/>
        <v>6.0606060606060608E-2</v>
      </c>
      <c r="Q274" t="s">
        <v>224</v>
      </c>
      <c r="R274" t="s">
        <v>124</v>
      </c>
      <c r="S274">
        <v>1</v>
      </c>
      <c r="T274" s="2">
        <f t="shared" si="46"/>
        <v>3.0303030303030304E-2</v>
      </c>
      <c r="U274" s="2">
        <v>1.2985905315727</v>
      </c>
      <c r="V274" s="2">
        <f t="shared" si="47"/>
        <v>3.935122822947576E-2</v>
      </c>
      <c r="W274" s="2">
        <v>4.7305514412000784</v>
      </c>
      <c r="X274" s="2">
        <f t="shared" si="48"/>
        <v>0.14335004367272966</v>
      </c>
      <c r="Y274" s="2">
        <v>4.716890444047749</v>
      </c>
      <c r="Z274" s="2">
        <f t="shared" si="49"/>
        <v>0.142936074062053</v>
      </c>
      <c r="AA274">
        <v>2018</v>
      </c>
      <c r="AB274">
        <v>1</v>
      </c>
      <c r="AC274">
        <v>8000000</v>
      </c>
    </row>
    <row r="275" spans="1:29" x14ac:dyDescent="0.2">
      <c r="A275">
        <v>1823</v>
      </c>
      <c r="B275" t="s">
        <v>125</v>
      </c>
      <c r="C275">
        <v>16</v>
      </c>
      <c r="D275">
        <v>1276</v>
      </c>
      <c r="E275">
        <v>0</v>
      </c>
      <c r="F275" s="2">
        <f t="shared" si="40"/>
        <v>0</v>
      </c>
      <c r="G275" s="2">
        <v>0.49789660796523089</v>
      </c>
      <c r="H275" s="2">
        <f t="shared" si="41"/>
        <v>3.5118099307892461E-2</v>
      </c>
      <c r="I275">
        <v>4</v>
      </c>
      <c r="J275" s="2">
        <f t="shared" si="42"/>
        <v>0.28213166144200624</v>
      </c>
      <c r="K275" s="2">
        <v>1.8893178068101411</v>
      </c>
      <c r="L275" s="2">
        <f t="shared" si="43"/>
        <v>0.13325909295682814</v>
      </c>
      <c r="M275">
        <v>9</v>
      </c>
      <c r="N275" s="2">
        <f t="shared" si="44"/>
        <v>0.63479623824451414</v>
      </c>
      <c r="O275">
        <v>30</v>
      </c>
      <c r="P275" s="2">
        <f t="shared" si="45"/>
        <v>2.1159874608150471</v>
      </c>
      <c r="Q275" t="s">
        <v>224</v>
      </c>
      <c r="R275" t="s">
        <v>126</v>
      </c>
      <c r="S275">
        <v>0</v>
      </c>
      <c r="T275" s="2">
        <f t="shared" si="46"/>
        <v>0</v>
      </c>
      <c r="U275" s="2">
        <v>0.49789660796523089</v>
      </c>
      <c r="V275" s="2">
        <f t="shared" si="47"/>
        <v>3.5118099307892461E-2</v>
      </c>
      <c r="W275" s="2">
        <v>4.2967984937131396</v>
      </c>
      <c r="X275" s="2">
        <f t="shared" si="48"/>
        <v>0.30306572447819952</v>
      </c>
      <c r="Y275" s="2">
        <v>2.9582636998966341</v>
      </c>
      <c r="Z275" s="2">
        <f t="shared" si="49"/>
        <v>0.20865496315885351</v>
      </c>
      <c r="AA275">
        <v>2021</v>
      </c>
      <c r="AB275">
        <v>0</v>
      </c>
      <c r="AC275">
        <v>35000000</v>
      </c>
    </row>
    <row r="276" spans="1:29" x14ac:dyDescent="0.2">
      <c r="A276">
        <v>1823</v>
      </c>
      <c r="B276" t="s">
        <v>125</v>
      </c>
      <c r="C276">
        <v>13</v>
      </c>
      <c r="D276">
        <v>1170</v>
      </c>
      <c r="E276">
        <v>0</v>
      </c>
      <c r="F276" s="2">
        <f t="shared" si="40"/>
        <v>0</v>
      </c>
      <c r="G276" s="2">
        <v>0.36331519670784468</v>
      </c>
      <c r="H276" s="2">
        <f t="shared" si="41"/>
        <v>2.794732282368036E-2</v>
      </c>
      <c r="I276">
        <v>0</v>
      </c>
      <c r="J276" s="2">
        <f t="shared" si="42"/>
        <v>0</v>
      </c>
      <c r="K276" s="2">
        <v>1.6304680062457919</v>
      </c>
      <c r="L276" s="2">
        <f t="shared" si="43"/>
        <v>0.1254206158650609</v>
      </c>
      <c r="M276">
        <v>9</v>
      </c>
      <c r="N276" s="2">
        <f t="shared" si="44"/>
        <v>0.69230769230769229</v>
      </c>
      <c r="O276">
        <v>22</v>
      </c>
      <c r="P276" s="2">
        <f t="shared" si="45"/>
        <v>1.6923076923076923</v>
      </c>
      <c r="Q276" t="s">
        <v>224</v>
      </c>
      <c r="R276" t="s">
        <v>68</v>
      </c>
      <c r="S276">
        <v>0</v>
      </c>
      <c r="T276" s="2">
        <f t="shared" si="46"/>
        <v>0</v>
      </c>
      <c r="U276" s="2">
        <v>0.36331519670784468</v>
      </c>
      <c r="V276" s="2">
        <f t="shared" si="47"/>
        <v>2.794732282368036E-2</v>
      </c>
      <c r="W276" s="2">
        <v>2.974281582981348</v>
      </c>
      <c r="X276" s="2">
        <f t="shared" si="48"/>
        <v>0.22879089099856523</v>
      </c>
      <c r="Y276" s="2">
        <v>2.3469532225281</v>
      </c>
      <c r="Z276" s="2">
        <f t="shared" si="49"/>
        <v>0.18053486327139229</v>
      </c>
      <c r="AA276">
        <v>2021</v>
      </c>
      <c r="AB276">
        <v>0</v>
      </c>
      <c r="AC276">
        <v>35000000</v>
      </c>
    </row>
    <row r="277" spans="1:29" x14ac:dyDescent="0.2">
      <c r="A277">
        <v>1823</v>
      </c>
      <c r="B277" t="s">
        <v>125</v>
      </c>
      <c r="C277">
        <v>28</v>
      </c>
      <c r="D277">
        <v>1494</v>
      </c>
      <c r="E277">
        <v>1</v>
      </c>
      <c r="F277" s="2">
        <f t="shared" si="40"/>
        <v>6.0240963855421686E-2</v>
      </c>
      <c r="G277" s="2">
        <v>0.49713645502924919</v>
      </c>
      <c r="H277" s="2">
        <f t="shared" si="41"/>
        <v>2.9947979218629468E-2</v>
      </c>
      <c r="I277">
        <v>0</v>
      </c>
      <c r="J277" s="2">
        <f t="shared" si="42"/>
        <v>0</v>
      </c>
      <c r="K277" s="2">
        <v>1.5675295852124691</v>
      </c>
      <c r="L277" s="2">
        <f t="shared" si="43"/>
        <v>9.4429493085088509E-2</v>
      </c>
      <c r="M277">
        <v>8</v>
      </c>
      <c r="N277" s="2">
        <f t="shared" si="44"/>
        <v>0.48192771084337349</v>
      </c>
      <c r="O277">
        <v>18</v>
      </c>
      <c r="P277" s="2">
        <f t="shared" si="45"/>
        <v>1.0843373493975905</v>
      </c>
      <c r="Q277" t="s">
        <v>224</v>
      </c>
      <c r="R277" t="s">
        <v>126</v>
      </c>
      <c r="S277">
        <v>1</v>
      </c>
      <c r="T277" s="2">
        <f t="shared" si="46"/>
        <v>6.0240963855421686E-2</v>
      </c>
      <c r="U277" s="2">
        <v>0.49713645502924919</v>
      </c>
      <c r="V277" s="2">
        <f t="shared" si="47"/>
        <v>2.9947979218629468E-2</v>
      </c>
      <c r="W277" s="2">
        <v>4.5028027072548866</v>
      </c>
      <c r="X277" s="2">
        <f t="shared" si="48"/>
        <v>0.27125317513583658</v>
      </c>
      <c r="Y277" s="2">
        <v>3.201058267615736</v>
      </c>
      <c r="Z277" s="2">
        <f t="shared" si="49"/>
        <v>0.19283483539853832</v>
      </c>
      <c r="AA277">
        <v>2022</v>
      </c>
      <c r="AB277">
        <v>0</v>
      </c>
      <c r="AC277">
        <v>15000000</v>
      </c>
    </row>
    <row r="278" spans="1:29" x14ac:dyDescent="0.2">
      <c r="A278">
        <v>1823</v>
      </c>
      <c r="B278" t="s">
        <v>125</v>
      </c>
      <c r="C278">
        <v>33</v>
      </c>
      <c r="D278">
        <v>2406</v>
      </c>
      <c r="E278">
        <v>1</v>
      </c>
      <c r="F278" s="2">
        <f t="shared" si="40"/>
        <v>3.7406483790523692E-2</v>
      </c>
      <c r="G278" s="2">
        <v>1.297881882637739</v>
      </c>
      <c r="H278" s="2">
        <f t="shared" si="41"/>
        <v>4.8549197604902949E-2</v>
      </c>
      <c r="I278">
        <v>3</v>
      </c>
      <c r="J278" s="2">
        <f t="shared" si="42"/>
        <v>0.11221945137157106</v>
      </c>
      <c r="K278" s="2">
        <v>2.9300744011998181</v>
      </c>
      <c r="L278" s="2">
        <f t="shared" si="43"/>
        <v>0.10960378059350942</v>
      </c>
      <c r="M278">
        <v>20</v>
      </c>
      <c r="N278" s="2">
        <f t="shared" si="44"/>
        <v>0.74812967581047385</v>
      </c>
      <c r="O278">
        <v>37</v>
      </c>
      <c r="P278" s="2">
        <f t="shared" si="45"/>
        <v>1.3840399002493766</v>
      </c>
      <c r="Q278" t="s">
        <v>224</v>
      </c>
      <c r="R278" t="s">
        <v>126</v>
      </c>
      <c r="S278">
        <v>1</v>
      </c>
      <c r="T278" s="2">
        <f t="shared" si="46"/>
        <v>3.7406483790523692E-2</v>
      </c>
      <c r="U278" s="2">
        <v>1.297881882637739</v>
      </c>
      <c r="V278" s="2">
        <f t="shared" si="47"/>
        <v>4.8549197604902949E-2</v>
      </c>
      <c r="W278" s="2">
        <v>10.579740032553669</v>
      </c>
      <c r="X278" s="2">
        <f t="shared" si="48"/>
        <v>0.39575087403567338</v>
      </c>
      <c r="Y278" s="2">
        <v>9.2271160781383514</v>
      </c>
      <c r="Z278" s="2">
        <f t="shared" si="49"/>
        <v>0.34515396801016279</v>
      </c>
      <c r="AA278">
        <v>2023</v>
      </c>
      <c r="AB278">
        <v>1</v>
      </c>
      <c r="AC278">
        <v>12000000</v>
      </c>
    </row>
    <row r="279" spans="1:29" x14ac:dyDescent="0.2">
      <c r="A279">
        <v>1823</v>
      </c>
      <c r="B279" t="s">
        <v>125</v>
      </c>
      <c r="C279">
        <v>32</v>
      </c>
      <c r="D279">
        <v>2413</v>
      </c>
      <c r="E279">
        <v>0</v>
      </c>
      <c r="F279" s="2">
        <f t="shared" si="40"/>
        <v>0</v>
      </c>
      <c r="G279" s="2">
        <v>0.78113535977900028</v>
      </c>
      <c r="H279" s="2">
        <f t="shared" si="41"/>
        <v>2.9134762693787827E-2</v>
      </c>
      <c r="I279">
        <v>4</v>
      </c>
      <c r="J279" s="2">
        <f t="shared" si="42"/>
        <v>0.14919187733112307</v>
      </c>
      <c r="K279" s="2">
        <v>6.9660492595285177</v>
      </c>
      <c r="L279" s="2">
        <f t="shared" si="43"/>
        <v>0.25981949165253487</v>
      </c>
      <c r="M279">
        <v>13</v>
      </c>
      <c r="N279" s="2">
        <f t="shared" si="44"/>
        <v>0.48487360132615004</v>
      </c>
      <c r="O279">
        <v>36</v>
      </c>
      <c r="P279" s="2">
        <f t="shared" si="45"/>
        <v>1.3427268959801077</v>
      </c>
      <c r="Q279" t="s">
        <v>224</v>
      </c>
      <c r="R279" t="s">
        <v>126</v>
      </c>
      <c r="S279">
        <v>0</v>
      </c>
      <c r="T279" s="2">
        <f t="shared" si="46"/>
        <v>0</v>
      </c>
      <c r="U279" s="2">
        <v>0.78113535977900028</v>
      </c>
      <c r="V279" s="2">
        <f t="shared" si="47"/>
        <v>2.9134762693787827E-2</v>
      </c>
      <c r="W279" s="2">
        <v>8.9903154838830233</v>
      </c>
      <c r="X279" s="2">
        <f t="shared" si="48"/>
        <v>0.33532051120989309</v>
      </c>
      <c r="Y279" s="2">
        <v>6.6269983630627394</v>
      </c>
      <c r="Z279" s="2">
        <f t="shared" si="49"/>
        <v>0.24717358171390241</v>
      </c>
      <c r="AA279">
        <v>2024</v>
      </c>
      <c r="AB279">
        <v>1</v>
      </c>
      <c r="AC279">
        <v>10000000</v>
      </c>
    </row>
    <row r="280" spans="1:29" x14ac:dyDescent="0.2">
      <c r="A280">
        <v>1927</v>
      </c>
      <c r="B280" t="s">
        <v>127</v>
      </c>
      <c r="C280">
        <v>33</v>
      </c>
      <c r="D280">
        <v>2623</v>
      </c>
      <c r="E280">
        <v>0</v>
      </c>
      <c r="F280" s="2">
        <f t="shared" si="40"/>
        <v>0</v>
      </c>
      <c r="G280" s="2">
        <v>1.749403808265924</v>
      </c>
      <c r="H280" s="2">
        <f t="shared" si="41"/>
        <v>6.0025292696886452E-2</v>
      </c>
      <c r="I280">
        <v>3</v>
      </c>
      <c r="J280" s="2">
        <f t="shared" si="42"/>
        <v>0.10293556995806329</v>
      </c>
      <c r="K280" s="2">
        <v>3.4449495989829302</v>
      </c>
      <c r="L280" s="2">
        <f t="shared" si="43"/>
        <v>0.11820261681603648</v>
      </c>
      <c r="M280">
        <v>21</v>
      </c>
      <c r="N280" s="2">
        <f t="shared" si="44"/>
        <v>0.72054898970644299</v>
      </c>
      <c r="O280">
        <v>22</v>
      </c>
      <c r="P280" s="2">
        <f t="shared" si="45"/>
        <v>0.75486084635913075</v>
      </c>
      <c r="Q280" t="s">
        <v>224</v>
      </c>
      <c r="R280" t="s">
        <v>93</v>
      </c>
      <c r="S280">
        <v>0</v>
      </c>
      <c r="T280" s="2">
        <f t="shared" si="46"/>
        <v>0</v>
      </c>
      <c r="U280" s="2">
        <v>1.749403808265924</v>
      </c>
      <c r="V280" s="2">
        <f t="shared" si="47"/>
        <v>6.0025292696886452E-2</v>
      </c>
      <c r="W280" s="2">
        <v>10.58378134667873</v>
      </c>
      <c r="X280" s="2">
        <f t="shared" si="48"/>
        <v>0.36314918841063121</v>
      </c>
      <c r="Y280" s="2">
        <v>9.9909272603690624</v>
      </c>
      <c r="Z280" s="2">
        <f t="shared" si="49"/>
        <v>0.34280726398521372</v>
      </c>
      <c r="AA280">
        <v>2020</v>
      </c>
      <c r="AB280">
        <v>0</v>
      </c>
      <c r="AC280">
        <v>22000000</v>
      </c>
    </row>
    <row r="281" spans="1:29" x14ac:dyDescent="0.2">
      <c r="A281">
        <v>1927</v>
      </c>
      <c r="B281" t="s">
        <v>127</v>
      </c>
      <c r="C281">
        <v>31</v>
      </c>
      <c r="D281">
        <v>2250</v>
      </c>
      <c r="E281">
        <v>1</v>
      </c>
      <c r="F281" s="2">
        <f t="shared" si="40"/>
        <v>0.04</v>
      </c>
      <c r="G281" s="2">
        <v>1.7930147163569929</v>
      </c>
      <c r="H281" s="2">
        <f t="shared" si="41"/>
        <v>7.1720588654279716E-2</v>
      </c>
      <c r="I281">
        <v>1</v>
      </c>
      <c r="J281" s="2">
        <f t="shared" si="42"/>
        <v>0.04</v>
      </c>
      <c r="K281" s="2">
        <v>2.3708400875329971</v>
      </c>
      <c r="L281" s="2">
        <f t="shared" si="43"/>
        <v>9.4833603501319877E-2</v>
      </c>
      <c r="M281">
        <v>16</v>
      </c>
      <c r="N281" s="2">
        <f t="shared" si="44"/>
        <v>0.64</v>
      </c>
      <c r="O281">
        <v>13</v>
      </c>
      <c r="P281" s="2">
        <f t="shared" si="45"/>
        <v>0.52</v>
      </c>
      <c r="Q281" t="s">
        <v>224</v>
      </c>
      <c r="R281" t="s">
        <v>93</v>
      </c>
      <c r="S281">
        <v>1</v>
      </c>
      <c r="T281" s="2">
        <f t="shared" si="46"/>
        <v>0.04</v>
      </c>
      <c r="U281" s="2">
        <v>1.7930147163569929</v>
      </c>
      <c r="V281" s="2">
        <f t="shared" si="47"/>
        <v>7.1720588654279716E-2</v>
      </c>
      <c r="W281" s="2">
        <v>6.5127136409282684</v>
      </c>
      <c r="X281" s="2">
        <f t="shared" si="48"/>
        <v>0.26050854563713072</v>
      </c>
      <c r="Y281" s="2">
        <v>5.7400674782693386</v>
      </c>
      <c r="Z281" s="2">
        <f t="shared" si="49"/>
        <v>0.22960269913077355</v>
      </c>
      <c r="AA281">
        <v>2021</v>
      </c>
      <c r="AB281">
        <v>0</v>
      </c>
      <c r="AC281">
        <v>17000000</v>
      </c>
    </row>
    <row r="282" spans="1:29" x14ac:dyDescent="0.2">
      <c r="A282">
        <v>1927</v>
      </c>
      <c r="B282" t="s">
        <v>127</v>
      </c>
      <c r="C282">
        <v>24</v>
      </c>
      <c r="D282">
        <v>1791</v>
      </c>
      <c r="E282">
        <v>0</v>
      </c>
      <c r="F282" s="2">
        <f t="shared" si="40"/>
        <v>0</v>
      </c>
      <c r="G282" s="2">
        <v>0.54391247779130936</v>
      </c>
      <c r="H282" s="2">
        <f t="shared" si="41"/>
        <v>2.7332285316146201E-2</v>
      </c>
      <c r="I282">
        <v>1</v>
      </c>
      <c r="J282" s="2">
        <f t="shared" si="42"/>
        <v>5.0251256281407038E-2</v>
      </c>
      <c r="K282" s="2">
        <v>0.18765262886881831</v>
      </c>
      <c r="L282" s="2">
        <f t="shared" si="43"/>
        <v>9.4297803451667498E-3</v>
      </c>
      <c r="M282">
        <v>4</v>
      </c>
      <c r="N282" s="2">
        <f t="shared" si="44"/>
        <v>0.20100502512562815</v>
      </c>
      <c r="O282">
        <v>4</v>
      </c>
      <c r="P282" s="2">
        <f t="shared" si="45"/>
        <v>0.20100502512562815</v>
      </c>
      <c r="Q282" t="s">
        <v>224</v>
      </c>
      <c r="R282" t="s">
        <v>93</v>
      </c>
      <c r="S282">
        <v>0</v>
      </c>
      <c r="T282" s="2">
        <f t="shared" si="46"/>
        <v>0</v>
      </c>
      <c r="U282" s="2">
        <v>0.54391247779130936</v>
      </c>
      <c r="V282" s="2">
        <f t="shared" si="47"/>
        <v>2.7332285316146201E-2</v>
      </c>
      <c r="W282" s="2">
        <v>6.0860198810696602</v>
      </c>
      <c r="X282" s="2">
        <f t="shared" si="48"/>
        <v>0.30583014477736986</v>
      </c>
      <c r="Y282" s="2">
        <v>5.9379669204354286</v>
      </c>
      <c r="Z282" s="2">
        <f t="shared" si="49"/>
        <v>0.298390297509318</v>
      </c>
      <c r="AA282">
        <v>2022</v>
      </c>
      <c r="AB282">
        <v>1</v>
      </c>
      <c r="AC282">
        <v>10000000</v>
      </c>
    </row>
    <row r="283" spans="1:29" x14ac:dyDescent="0.2">
      <c r="A283">
        <v>1927</v>
      </c>
      <c r="B283" t="s">
        <v>127</v>
      </c>
      <c r="C283">
        <v>37</v>
      </c>
      <c r="D283">
        <v>2829</v>
      </c>
      <c r="E283">
        <v>0</v>
      </c>
      <c r="F283" s="2">
        <f t="shared" si="40"/>
        <v>0</v>
      </c>
      <c r="G283" s="2">
        <v>0.98375552985817205</v>
      </c>
      <c r="H283" s="2">
        <f t="shared" si="41"/>
        <v>3.1296570409061676E-2</v>
      </c>
      <c r="I283">
        <v>1</v>
      </c>
      <c r="J283" s="2">
        <f t="shared" si="42"/>
        <v>3.1813361611876992E-2</v>
      </c>
      <c r="K283" s="2">
        <v>0.73514056019484997</v>
      </c>
      <c r="L283" s="2">
        <f t="shared" si="43"/>
        <v>2.3387292477036584E-2</v>
      </c>
      <c r="M283">
        <v>13</v>
      </c>
      <c r="N283" s="2">
        <f t="shared" si="44"/>
        <v>0.41357370095440088</v>
      </c>
      <c r="O283">
        <v>7</v>
      </c>
      <c r="P283" s="2">
        <f t="shared" si="45"/>
        <v>0.22269353128313893</v>
      </c>
      <c r="Q283" t="s">
        <v>224</v>
      </c>
      <c r="R283" t="s">
        <v>93</v>
      </c>
      <c r="S283">
        <v>0</v>
      </c>
      <c r="T283" s="2">
        <f t="shared" si="46"/>
        <v>0</v>
      </c>
      <c r="U283" s="2">
        <v>0.98375552985817205</v>
      </c>
      <c r="V283" s="2">
        <f t="shared" si="47"/>
        <v>3.1296570409061676E-2</v>
      </c>
      <c r="W283" s="2">
        <v>6.9190278891474009</v>
      </c>
      <c r="X283" s="2">
        <f t="shared" si="48"/>
        <v>0.22011753624010819</v>
      </c>
      <c r="Y283" s="2">
        <v>6.847096337005496</v>
      </c>
      <c r="Z283" s="2">
        <f t="shared" si="49"/>
        <v>0.21782915176051421</v>
      </c>
      <c r="AA283">
        <v>2023</v>
      </c>
      <c r="AB283">
        <v>1</v>
      </c>
      <c r="AC283">
        <v>10000000</v>
      </c>
    </row>
    <row r="284" spans="1:29" x14ac:dyDescent="0.2">
      <c r="A284">
        <v>2094</v>
      </c>
      <c r="B284" t="s">
        <v>128</v>
      </c>
      <c r="C284">
        <v>31</v>
      </c>
      <c r="D284">
        <v>1576</v>
      </c>
      <c r="E284">
        <v>1</v>
      </c>
      <c r="F284" s="2">
        <f t="shared" si="40"/>
        <v>5.7106598984771571E-2</v>
      </c>
      <c r="G284" s="2">
        <v>2.2783852126449351</v>
      </c>
      <c r="H284" s="2">
        <f t="shared" si="41"/>
        <v>0.13011083067134782</v>
      </c>
      <c r="I284">
        <v>3</v>
      </c>
      <c r="J284" s="2">
        <f t="shared" si="42"/>
        <v>0.17131979695431473</v>
      </c>
      <c r="K284" s="2">
        <v>1.447045998647809</v>
      </c>
      <c r="L284" s="2">
        <f t="shared" si="43"/>
        <v>8.2635875557298746E-2</v>
      </c>
      <c r="M284">
        <v>24</v>
      </c>
      <c r="N284" s="2">
        <f t="shared" si="44"/>
        <v>1.3705583756345179</v>
      </c>
      <c r="O284">
        <v>18</v>
      </c>
      <c r="P284" s="2">
        <f t="shared" si="45"/>
        <v>1.0279187817258884</v>
      </c>
      <c r="Q284" t="s">
        <v>223</v>
      </c>
      <c r="R284" t="s">
        <v>129</v>
      </c>
      <c r="S284">
        <v>1</v>
      </c>
      <c r="T284" s="2">
        <f t="shared" si="46"/>
        <v>5.7106598984771571E-2</v>
      </c>
      <c r="U284" s="2">
        <v>2.2783852126449351</v>
      </c>
      <c r="V284" s="2">
        <f t="shared" si="47"/>
        <v>0.13011083067134782</v>
      </c>
      <c r="W284" s="2">
        <v>11.64149261638522</v>
      </c>
      <c r="X284" s="2">
        <f t="shared" si="48"/>
        <v>0.66480605042808993</v>
      </c>
      <c r="Y284" s="2">
        <v>8.7704927884042263</v>
      </c>
      <c r="Z284" s="2">
        <f t="shared" si="49"/>
        <v>0.50085301456623121</v>
      </c>
      <c r="AA284">
        <v>2019</v>
      </c>
      <c r="AB284">
        <v>0</v>
      </c>
      <c r="AC284">
        <v>20000000</v>
      </c>
    </row>
    <row r="285" spans="1:29" x14ac:dyDescent="0.2">
      <c r="A285">
        <v>2094</v>
      </c>
      <c r="B285" t="s">
        <v>128</v>
      </c>
      <c r="C285">
        <v>37</v>
      </c>
      <c r="D285">
        <v>2245</v>
      </c>
      <c r="E285">
        <v>4</v>
      </c>
      <c r="F285" s="2">
        <f t="shared" si="40"/>
        <v>0.16035634743875279</v>
      </c>
      <c r="G285" s="2">
        <v>4.9800268625840536</v>
      </c>
      <c r="H285" s="2">
        <f t="shared" si="41"/>
        <v>0.19964472945771261</v>
      </c>
      <c r="I285">
        <v>2</v>
      </c>
      <c r="J285" s="2">
        <f t="shared" si="42"/>
        <v>8.0178173719376397E-2</v>
      </c>
      <c r="K285" s="2">
        <v>1.4655553195625539</v>
      </c>
      <c r="L285" s="2">
        <f t="shared" si="43"/>
        <v>5.8752774503621319E-2</v>
      </c>
      <c r="M285">
        <v>40</v>
      </c>
      <c r="N285" s="2">
        <f t="shared" si="44"/>
        <v>1.6035634743875278</v>
      </c>
      <c r="O285">
        <v>25</v>
      </c>
      <c r="P285" s="2">
        <f t="shared" si="45"/>
        <v>1.0022271714922049</v>
      </c>
      <c r="Q285" t="s">
        <v>223</v>
      </c>
      <c r="R285" t="s">
        <v>74</v>
      </c>
      <c r="S285">
        <v>2</v>
      </c>
      <c r="T285" s="2">
        <f t="shared" si="46"/>
        <v>8.0178173719376397E-2</v>
      </c>
      <c r="U285" s="2">
        <v>3.493857118301094</v>
      </c>
      <c r="V285" s="2">
        <f t="shared" si="47"/>
        <v>0.14006554149091247</v>
      </c>
      <c r="W285" s="2">
        <v>10.217090498656029</v>
      </c>
      <c r="X285" s="2">
        <f t="shared" si="48"/>
        <v>0.40959382845391651</v>
      </c>
      <c r="Y285" s="2">
        <v>6.688898328691721</v>
      </c>
      <c r="Z285" s="2">
        <f t="shared" si="49"/>
        <v>0.26815182609454558</v>
      </c>
      <c r="AA285">
        <v>2020</v>
      </c>
      <c r="AB285">
        <v>0</v>
      </c>
      <c r="AC285">
        <v>10000000</v>
      </c>
    </row>
    <row r="286" spans="1:29" x14ac:dyDescent="0.2">
      <c r="A286">
        <v>2094</v>
      </c>
      <c r="B286" t="s">
        <v>128</v>
      </c>
      <c r="C286">
        <v>35</v>
      </c>
      <c r="D286">
        <v>2190</v>
      </c>
      <c r="E286">
        <v>4</v>
      </c>
      <c r="F286" s="2">
        <f t="shared" si="40"/>
        <v>0.16438356164383561</v>
      </c>
      <c r="G286" s="2">
        <v>2.813894298858941</v>
      </c>
      <c r="H286" s="2">
        <f t="shared" si="41"/>
        <v>0.11563949173392908</v>
      </c>
      <c r="I286">
        <v>6</v>
      </c>
      <c r="J286" s="2">
        <f t="shared" si="42"/>
        <v>0.24657534246575344</v>
      </c>
      <c r="K286" s="2">
        <v>3.513906910084188</v>
      </c>
      <c r="L286" s="2">
        <f t="shared" si="43"/>
        <v>0.144407133291131</v>
      </c>
      <c r="M286">
        <v>31</v>
      </c>
      <c r="N286" s="2">
        <f t="shared" si="44"/>
        <v>1.273972602739726</v>
      </c>
      <c r="O286">
        <v>41</v>
      </c>
      <c r="P286" s="2">
        <f t="shared" si="45"/>
        <v>1.6849315068493149</v>
      </c>
      <c r="Q286" t="s">
        <v>223</v>
      </c>
      <c r="R286" t="s">
        <v>74</v>
      </c>
      <c r="S286">
        <v>3</v>
      </c>
      <c r="T286" s="2">
        <f t="shared" si="46"/>
        <v>0.12328767123287672</v>
      </c>
      <c r="U286" s="2">
        <v>1.3273382978513839</v>
      </c>
      <c r="V286" s="2">
        <f t="shared" si="47"/>
        <v>5.4548149226769205E-2</v>
      </c>
      <c r="W286" s="2">
        <v>10.118826352059839</v>
      </c>
      <c r="X286" s="2">
        <f t="shared" si="48"/>
        <v>0.41584217885177421</v>
      </c>
      <c r="Y286" s="2">
        <v>8.1631571836769581</v>
      </c>
      <c r="Z286" s="2">
        <f t="shared" si="49"/>
        <v>0.33547221302782021</v>
      </c>
      <c r="AA286">
        <v>2021</v>
      </c>
      <c r="AB286">
        <v>1</v>
      </c>
      <c r="AC286">
        <v>7000000</v>
      </c>
    </row>
    <row r="287" spans="1:29" x14ac:dyDescent="0.2">
      <c r="A287">
        <v>2094</v>
      </c>
      <c r="B287" t="s">
        <v>128</v>
      </c>
      <c r="C287">
        <v>31</v>
      </c>
      <c r="D287">
        <v>1788</v>
      </c>
      <c r="E287">
        <v>1</v>
      </c>
      <c r="F287" s="2">
        <f t="shared" si="40"/>
        <v>5.0335570469798654E-2</v>
      </c>
      <c r="G287" s="2">
        <v>3.0687213544733818</v>
      </c>
      <c r="H287" s="2">
        <f t="shared" si="41"/>
        <v>0.15446583999027089</v>
      </c>
      <c r="I287">
        <v>3</v>
      </c>
      <c r="J287" s="2">
        <f t="shared" si="42"/>
        <v>0.15100671140939598</v>
      </c>
      <c r="K287" s="2">
        <v>1.7961411206051709</v>
      </c>
      <c r="L287" s="2">
        <f t="shared" si="43"/>
        <v>9.0409787949924714E-2</v>
      </c>
      <c r="M287">
        <v>31</v>
      </c>
      <c r="N287" s="2">
        <f t="shared" si="44"/>
        <v>1.5604026845637586</v>
      </c>
      <c r="O287">
        <v>28</v>
      </c>
      <c r="P287" s="2">
        <f t="shared" si="45"/>
        <v>1.4093959731543624</v>
      </c>
      <c r="Q287" t="s">
        <v>223</v>
      </c>
      <c r="R287" t="s">
        <v>74</v>
      </c>
      <c r="S287">
        <v>0</v>
      </c>
      <c r="T287" s="2">
        <f t="shared" si="46"/>
        <v>0</v>
      </c>
      <c r="U287" s="2">
        <v>1.582166141364723</v>
      </c>
      <c r="V287" s="2">
        <f t="shared" si="47"/>
        <v>7.9639235303593431E-2</v>
      </c>
      <c r="W287" s="2">
        <v>8.2921316563151777</v>
      </c>
      <c r="X287" s="2">
        <f t="shared" si="48"/>
        <v>0.41738917733130088</v>
      </c>
      <c r="Y287" s="2">
        <v>6.4400753760710359</v>
      </c>
      <c r="Z287" s="2">
        <f t="shared" si="49"/>
        <v>0.32416486792303872</v>
      </c>
      <c r="AA287">
        <v>2022</v>
      </c>
      <c r="AB287">
        <v>1</v>
      </c>
      <c r="AC287">
        <v>4000000</v>
      </c>
    </row>
    <row r="288" spans="1:29" x14ac:dyDescent="0.2">
      <c r="A288">
        <v>2117</v>
      </c>
      <c r="B288" t="s">
        <v>130</v>
      </c>
      <c r="C288">
        <v>31</v>
      </c>
      <c r="D288">
        <v>1733</v>
      </c>
      <c r="E288">
        <v>10</v>
      </c>
      <c r="F288" s="2">
        <f t="shared" si="40"/>
        <v>0.51933064050778999</v>
      </c>
      <c r="G288" s="2">
        <v>7.7222982905805111</v>
      </c>
      <c r="H288" s="2">
        <f t="shared" si="41"/>
        <v>0.40104261174393885</v>
      </c>
      <c r="I288">
        <v>0</v>
      </c>
      <c r="J288" s="2">
        <f t="shared" si="42"/>
        <v>0</v>
      </c>
      <c r="K288" s="2">
        <v>2.2709937002509828</v>
      </c>
      <c r="L288" s="2">
        <f t="shared" si="43"/>
        <v>0.1179396612940499</v>
      </c>
      <c r="M288">
        <v>64</v>
      </c>
      <c r="N288" s="2">
        <f t="shared" si="44"/>
        <v>3.3237160992498556</v>
      </c>
      <c r="O288">
        <v>31</v>
      </c>
      <c r="P288" s="2">
        <f t="shared" si="45"/>
        <v>1.6099249855741489</v>
      </c>
      <c r="Q288" t="s">
        <v>222</v>
      </c>
      <c r="R288" t="s">
        <v>131</v>
      </c>
      <c r="S288">
        <v>10</v>
      </c>
      <c r="T288" s="2">
        <f t="shared" si="46"/>
        <v>0.51933064050778999</v>
      </c>
      <c r="U288" s="2">
        <v>7.7222982905805111</v>
      </c>
      <c r="V288" s="2">
        <f t="shared" si="47"/>
        <v>0.40104261174393885</v>
      </c>
      <c r="W288" s="2">
        <v>13.96077854558826</v>
      </c>
      <c r="X288" s="2">
        <f t="shared" si="48"/>
        <v>0.72502600640677639</v>
      </c>
      <c r="Y288" s="2">
        <v>6.0375092644244432</v>
      </c>
      <c r="Z288" s="2">
        <f t="shared" si="49"/>
        <v>0.31354635533652619</v>
      </c>
      <c r="AA288">
        <v>2021</v>
      </c>
      <c r="AB288">
        <v>0</v>
      </c>
      <c r="AC288">
        <v>40000000</v>
      </c>
    </row>
    <row r="289" spans="1:29" x14ac:dyDescent="0.2">
      <c r="A289">
        <v>2117</v>
      </c>
      <c r="B289" t="s">
        <v>130</v>
      </c>
      <c r="C289">
        <v>31</v>
      </c>
      <c r="D289">
        <v>1422</v>
      </c>
      <c r="E289">
        <v>9</v>
      </c>
      <c r="F289" s="2">
        <f t="shared" si="40"/>
        <v>0.569620253164557</v>
      </c>
      <c r="G289" s="2">
        <v>6.3738709194585681</v>
      </c>
      <c r="H289" s="2">
        <f t="shared" si="41"/>
        <v>0.40340955186446636</v>
      </c>
      <c r="I289">
        <v>6</v>
      </c>
      <c r="J289" s="2">
        <f t="shared" si="42"/>
        <v>0.37974683544303794</v>
      </c>
      <c r="K289" s="2">
        <v>5.1665106695145369</v>
      </c>
      <c r="L289" s="2">
        <f t="shared" si="43"/>
        <v>0.32699434617180612</v>
      </c>
      <c r="M289">
        <v>59</v>
      </c>
      <c r="N289" s="2">
        <f t="shared" si="44"/>
        <v>3.7341772151898733</v>
      </c>
      <c r="O289">
        <v>40</v>
      </c>
      <c r="P289" s="2">
        <f t="shared" si="45"/>
        <v>2.5316455696202529</v>
      </c>
      <c r="Q289" t="s">
        <v>222</v>
      </c>
      <c r="R289" t="s">
        <v>131</v>
      </c>
      <c r="S289">
        <v>9</v>
      </c>
      <c r="T289" s="2">
        <f t="shared" si="46"/>
        <v>0.569620253164557</v>
      </c>
      <c r="U289" s="2">
        <v>5.6305938279256216</v>
      </c>
      <c r="V289" s="2">
        <f t="shared" si="47"/>
        <v>0.35636669796997605</v>
      </c>
      <c r="W289" s="2">
        <v>15.24282023124397</v>
      </c>
      <c r="X289" s="2">
        <f t="shared" si="48"/>
        <v>0.96473545767366886</v>
      </c>
      <c r="Y289" s="2">
        <v>8.6553351562470198</v>
      </c>
      <c r="Z289" s="2">
        <f t="shared" si="49"/>
        <v>0.54780602254727973</v>
      </c>
      <c r="AA289">
        <v>2022</v>
      </c>
      <c r="AB289">
        <v>0</v>
      </c>
      <c r="AC289">
        <v>25000000</v>
      </c>
    </row>
    <row r="290" spans="1:29" x14ac:dyDescent="0.2">
      <c r="A290">
        <v>2117</v>
      </c>
      <c r="B290" t="s">
        <v>130</v>
      </c>
      <c r="C290">
        <v>19</v>
      </c>
      <c r="D290">
        <v>1113</v>
      </c>
      <c r="E290">
        <v>4</v>
      </c>
      <c r="F290" s="2">
        <f t="shared" si="40"/>
        <v>0.32345013477088952</v>
      </c>
      <c r="G290" s="2">
        <v>4.1866585314273834</v>
      </c>
      <c r="H290" s="2">
        <f t="shared" si="41"/>
        <v>0.33854381655747035</v>
      </c>
      <c r="I290">
        <v>5</v>
      </c>
      <c r="J290" s="2">
        <f t="shared" si="42"/>
        <v>0.40431266846361186</v>
      </c>
      <c r="K290" s="2">
        <v>5.4537117499858141</v>
      </c>
      <c r="L290" s="2">
        <f t="shared" si="43"/>
        <v>0.44100095013362378</v>
      </c>
      <c r="M290">
        <v>27</v>
      </c>
      <c r="N290" s="2">
        <f t="shared" si="44"/>
        <v>2.1832884097035041</v>
      </c>
      <c r="O290">
        <v>33</v>
      </c>
      <c r="P290" s="2">
        <f t="shared" si="45"/>
        <v>2.6684636118598384</v>
      </c>
      <c r="Q290" t="s">
        <v>222</v>
      </c>
      <c r="R290" t="s">
        <v>132</v>
      </c>
      <c r="S290">
        <v>4</v>
      </c>
      <c r="T290" s="2">
        <f t="shared" si="46"/>
        <v>0.32345013477088952</v>
      </c>
      <c r="U290" s="2">
        <v>4.1866585314273834</v>
      </c>
      <c r="V290" s="2">
        <f t="shared" si="47"/>
        <v>0.33854381655747035</v>
      </c>
      <c r="W290" s="2">
        <v>13.652837883681061</v>
      </c>
      <c r="X290" s="2">
        <f t="shared" si="48"/>
        <v>1.1040030633704361</v>
      </c>
      <c r="Y290" s="2">
        <v>6.2916938588023186</v>
      </c>
      <c r="Z290" s="2">
        <f t="shared" si="49"/>
        <v>0.50876230664169697</v>
      </c>
      <c r="AA290">
        <v>2023</v>
      </c>
      <c r="AB290">
        <v>1</v>
      </c>
      <c r="AC290">
        <v>20000000</v>
      </c>
    </row>
    <row r="291" spans="1:29" x14ac:dyDescent="0.2">
      <c r="A291">
        <v>2117</v>
      </c>
      <c r="B291" t="s">
        <v>130</v>
      </c>
      <c r="C291">
        <v>12</v>
      </c>
      <c r="D291">
        <v>634</v>
      </c>
      <c r="E291">
        <v>2</v>
      </c>
      <c r="F291" s="2">
        <f t="shared" si="40"/>
        <v>0.28391167192429023</v>
      </c>
      <c r="G291" s="2">
        <v>6.5542003847658634</v>
      </c>
      <c r="H291" s="2">
        <f t="shared" si="41"/>
        <v>0.93040699468285137</v>
      </c>
      <c r="I291">
        <v>4</v>
      </c>
      <c r="J291" s="2">
        <f t="shared" si="42"/>
        <v>0.56782334384858046</v>
      </c>
      <c r="K291" s="2">
        <v>3.0097367949783802</v>
      </c>
      <c r="L291" s="2">
        <f t="shared" si="43"/>
        <v>0.42724970275718333</v>
      </c>
      <c r="M291">
        <v>26</v>
      </c>
      <c r="N291" s="2">
        <f t="shared" si="44"/>
        <v>3.690851735015773</v>
      </c>
      <c r="O291">
        <v>17</v>
      </c>
      <c r="P291" s="2">
        <f t="shared" si="45"/>
        <v>2.413249211356467</v>
      </c>
      <c r="Q291" t="s">
        <v>222</v>
      </c>
      <c r="R291" t="s">
        <v>132</v>
      </c>
      <c r="S291">
        <v>2</v>
      </c>
      <c r="T291" s="2">
        <f t="shared" si="46"/>
        <v>0.28391167192429023</v>
      </c>
      <c r="U291" s="2">
        <v>6.5542003847658634</v>
      </c>
      <c r="V291" s="2">
        <f t="shared" si="47"/>
        <v>0.93040699468285137</v>
      </c>
      <c r="W291" s="2">
        <v>13.5504436828196</v>
      </c>
      <c r="X291" s="2">
        <f t="shared" si="48"/>
        <v>1.9235645606526246</v>
      </c>
      <c r="Y291" s="2">
        <v>4.8167638368904591</v>
      </c>
      <c r="Z291" s="2">
        <f t="shared" si="49"/>
        <v>0.68376773709801475</v>
      </c>
      <c r="AA291">
        <v>2024</v>
      </c>
      <c r="AB291">
        <v>1</v>
      </c>
      <c r="AC291">
        <v>20000000</v>
      </c>
    </row>
    <row r="292" spans="1:29" x14ac:dyDescent="0.2">
      <c r="A292">
        <v>2122</v>
      </c>
      <c r="B292" t="s">
        <v>133</v>
      </c>
      <c r="C292">
        <v>34</v>
      </c>
      <c r="D292">
        <v>2307</v>
      </c>
      <c r="E292">
        <v>2</v>
      </c>
      <c r="F292" s="2">
        <f t="shared" si="40"/>
        <v>7.8023407022106625E-2</v>
      </c>
      <c r="G292" s="2">
        <v>2.249885282479227</v>
      </c>
      <c r="H292" s="2">
        <f t="shared" si="41"/>
        <v>8.7771857573962053E-2</v>
      </c>
      <c r="I292">
        <v>2</v>
      </c>
      <c r="J292" s="2">
        <f t="shared" si="42"/>
        <v>7.8023407022106625E-2</v>
      </c>
      <c r="K292" s="2">
        <v>3.49486181885004</v>
      </c>
      <c r="L292" s="2">
        <f t="shared" si="43"/>
        <v>0.13634051308907827</v>
      </c>
      <c r="M292">
        <v>29</v>
      </c>
      <c r="N292" s="2">
        <f t="shared" si="44"/>
        <v>1.131339401820546</v>
      </c>
      <c r="O292">
        <v>36</v>
      </c>
      <c r="P292" s="2">
        <f t="shared" si="45"/>
        <v>1.4044213263979195</v>
      </c>
      <c r="Q292" t="s">
        <v>223</v>
      </c>
      <c r="R292" t="s">
        <v>74</v>
      </c>
      <c r="S292">
        <v>2</v>
      </c>
      <c r="T292" s="2">
        <f t="shared" si="46"/>
        <v>7.8023407022106625E-2</v>
      </c>
      <c r="U292" s="2">
        <v>2.249885282479227</v>
      </c>
      <c r="V292" s="2">
        <f t="shared" si="47"/>
        <v>8.7771857573962053E-2</v>
      </c>
      <c r="W292" s="2">
        <v>8.0947439260780811</v>
      </c>
      <c r="X292" s="2">
        <f t="shared" si="48"/>
        <v>0.31578975004205778</v>
      </c>
      <c r="Y292" s="2">
        <v>5.1090889070183039</v>
      </c>
      <c r="Z292" s="2">
        <f t="shared" si="49"/>
        <v>0.19931426165220953</v>
      </c>
      <c r="AA292">
        <v>2019</v>
      </c>
      <c r="AB292">
        <v>0</v>
      </c>
      <c r="AC292">
        <v>14500000</v>
      </c>
    </row>
    <row r="293" spans="1:29" x14ac:dyDescent="0.2">
      <c r="A293">
        <v>2122</v>
      </c>
      <c r="B293" t="s">
        <v>133</v>
      </c>
      <c r="C293">
        <v>35</v>
      </c>
      <c r="D293">
        <v>2436</v>
      </c>
      <c r="E293">
        <v>1</v>
      </c>
      <c r="F293" s="2">
        <f t="shared" si="40"/>
        <v>3.694581280788177E-2</v>
      </c>
      <c r="G293" s="2">
        <v>2.0754985902458429</v>
      </c>
      <c r="H293" s="2">
        <f t="shared" si="41"/>
        <v>7.6680982398245431E-2</v>
      </c>
      <c r="I293">
        <v>6</v>
      </c>
      <c r="J293" s="2">
        <f t="shared" si="42"/>
        <v>0.22167487684729065</v>
      </c>
      <c r="K293" s="2">
        <v>3.0899712685495619</v>
      </c>
      <c r="L293" s="2">
        <f t="shared" si="43"/>
        <v>0.1141615000695651</v>
      </c>
      <c r="M293">
        <v>24</v>
      </c>
      <c r="N293" s="2">
        <f t="shared" si="44"/>
        <v>0.88669950738916259</v>
      </c>
      <c r="O293">
        <v>38</v>
      </c>
      <c r="P293" s="2">
        <f t="shared" si="45"/>
        <v>1.4039408866995073</v>
      </c>
      <c r="Q293" t="s">
        <v>223</v>
      </c>
      <c r="R293" t="s">
        <v>74</v>
      </c>
      <c r="S293">
        <v>1</v>
      </c>
      <c r="T293" s="2">
        <f t="shared" si="46"/>
        <v>3.694581280788177E-2</v>
      </c>
      <c r="U293" s="2">
        <v>2.0754985902458429</v>
      </c>
      <c r="V293" s="2">
        <f t="shared" si="47"/>
        <v>7.6680982398245431E-2</v>
      </c>
      <c r="W293" s="2">
        <v>10.865678753703831</v>
      </c>
      <c r="X293" s="2">
        <f t="shared" si="48"/>
        <v>0.40144133326491982</v>
      </c>
      <c r="Y293" s="2">
        <v>7.9705525264143944</v>
      </c>
      <c r="Z293" s="2">
        <f t="shared" si="49"/>
        <v>0.29447854161629533</v>
      </c>
      <c r="AA293">
        <v>2020</v>
      </c>
      <c r="AB293">
        <v>0</v>
      </c>
      <c r="AC293">
        <v>30000000</v>
      </c>
    </row>
    <row r="294" spans="1:29" x14ac:dyDescent="0.2">
      <c r="A294">
        <v>2122</v>
      </c>
      <c r="B294" t="s">
        <v>133</v>
      </c>
      <c r="C294">
        <v>36</v>
      </c>
      <c r="D294">
        <v>2559</v>
      </c>
      <c r="E294">
        <v>0</v>
      </c>
      <c r="F294" s="2">
        <f t="shared" si="40"/>
        <v>0</v>
      </c>
      <c r="G294" s="2">
        <v>1.080208817496896</v>
      </c>
      <c r="H294" s="2">
        <f t="shared" si="41"/>
        <v>3.7990931447722018E-2</v>
      </c>
      <c r="I294">
        <v>0</v>
      </c>
      <c r="J294" s="2">
        <f t="shared" si="42"/>
        <v>0</v>
      </c>
      <c r="K294" s="2">
        <v>1.888011150062084</v>
      </c>
      <c r="L294" s="2">
        <f t="shared" si="43"/>
        <v>6.6401330013906815E-2</v>
      </c>
      <c r="M294">
        <v>16</v>
      </c>
      <c r="N294" s="2">
        <f t="shared" si="44"/>
        <v>0.56271981242672919</v>
      </c>
      <c r="O294">
        <v>24</v>
      </c>
      <c r="P294" s="2">
        <f t="shared" si="45"/>
        <v>0.84407971864009368</v>
      </c>
      <c r="Q294" t="s">
        <v>223</v>
      </c>
      <c r="R294" t="s">
        <v>74</v>
      </c>
      <c r="S294">
        <v>0</v>
      </c>
      <c r="T294" s="2">
        <f t="shared" si="46"/>
        <v>0</v>
      </c>
      <c r="U294" s="2">
        <v>1.080208817496896</v>
      </c>
      <c r="V294" s="2">
        <f t="shared" si="47"/>
        <v>3.7990931447722018E-2</v>
      </c>
      <c r="W294" s="2">
        <v>9.8618357200175524</v>
      </c>
      <c r="X294" s="2">
        <f t="shared" si="48"/>
        <v>0.3468406466594684</v>
      </c>
      <c r="Y294" s="2">
        <v>8.2274762084707618</v>
      </c>
      <c r="Z294" s="2">
        <f t="shared" si="49"/>
        <v>0.28936024179850278</v>
      </c>
      <c r="AA294">
        <v>2021</v>
      </c>
      <c r="AB294">
        <v>1</v>
      </c>
      <c r="AC294">
        <v>22000000</v>
      </c>
    </row>
    <row r="295" spans="1:29" x14ac:dyDescent="0.2">
      <c r="A295">
        <v>2122</v>
      </c>
      <c r="B295" t="s">
        <v>133</v>
      </c>
      <c r="C295">
        <v>23</v>
      </c>
      <c r="D295">
        <v>1607</v>
      </c>
      <c r="E295">
        <v>0</v>
      </c>
      <c r="F295" s="2">
        <f t="shared" si="40"/>
        <v>0</v>
      </c>
      <c r="G295" s="2">
        <v>0.6404351843520999</v>
      </c>
      <c r="H295" s="2">
        <f t="shared" si="41"/>
        <v>3.586755855114436E-2</v>
      </c>
      <c r="I295">
        <v>1</v>
      </c>
      <c r="J295" s="2">
        <f t="shared" si="42"/>
        <v>5.6004978220286245E-2</v>
      </c>
      <c r="K295" s="2">
        <v>0.32491070590913301</v>
      </c>
      <c r="L295" s="2">
        <f t="shared" si="43"/>
        <v>1.8196617007978824E-2</v>
      </c>
      <c r="M295">
        <v>13</v>
      </c>
      <c r="N295" s="2">
        <f t="shared" si="44"/>
        <v>0.72806471686372121</v>
      </c>
      <c r="O295">
        <v>8</v>
      </c>
      <c r="P295" s="2">
        <f t="shared" si="45"/>
        <v>0.44803982576228996</v>
      </c>
      <c r="Q295" t="s">
        <v>223</v>
      </c>
      <c r="R295" t="s">
        <v>74</v>
      </c>
      <c r="S295">
        <v>0</v>
      </c>
      <c r="T295" s="2">
        <f t="shared" si="46"/>
        <v>0</v>
      </c>
      <c r="U295" s="2">
        <v>0.6404351843520999</v>
      </c>
      <c r="V295" s="2">
        <f t="shared" si="47"/>
        <v>3.586755855114436E-2</v>
      </c>
      <c r="W295" s="2">
        <v>5.43619673140347</v>
      </c>
      <c r="X295" s="2">
        <f t="shared" si="48"/>
        <v>0.30445407954344267</v>
      </c>
      <c r="Y295" s="2">
        <v>4.8548682499676943</v>
      </c>
      <c r="Z295" s="2">
        <f t="shared" si="49"/>
        <v>0.27189679060179989</v>
      </c>
      <c r="AA295">
        <v>2022</v>
      </c>
      <c r="AB295">
        <v>1</v>
      </c>
      <c r="AC295">
        <v>9000000</v>
      </c>
    </row>
    <row r="296" spans="1:29" x14ac:dyDescent="0.2">
      <c r="A296">
        <v>2143</v>
      </c>
      <c r="B296" t="s">
        <v>134</v>
      </c>
      <c r="C296">
        <v>34</v>
      </c>
      <c r="D296">
        <v>2988</v>
      </c>
      <c r="E296">
        <v>1</v>
      </c>
      <c r="F296" s="2">
        <f t="shared" si="40"/>
        <v>3.0120481927710843E-2</v>
      </c>
      <c r="G296" s="2">
        <v>2.2897980287671089</v>
      </c>
      <c r="H296" s="2">
        <f t="shared" si="41"/>
        <v>6.8969820143587615E-2</v>
      </c>
      <c r="I296">
        <v>0</v>
      </c>
      <c r="J296" s="2">
        <f t="shared" si="42"/>
        <v>0</v>
      </c>
      <c r="K296" s="2">
        <v>0.27077049948275089</v>
      </c>
      <c r="L296" s="2">
        <f t="shared" si="43"/>
        <v>8.1557379362274356E-3</v>
      </c>
      <c r="M296">
        <v>24</v>
      </c>
      <c r="N296" s="2">
        <f t="shared" si="44"/>
        <v>0.72289156626506013</v>
      </c>
      <c r="O296">
        <v>8</v>
      </c>
      <c r="P296" s="2">
        <f t="shared" si="45"/>
        <v>0.24096385542168675</v>
      </c>
      <c r="Q296" t="s">
        <v>224</v>
      </c>
      <c r="R296" t="s">
        <v>43</v>
      </c>
      <c r="S296">
        <v>1</v>
      </c>
      <c r="T296" s="2">
        <f t="shared" si="46"/>
        <v>3.0120481927710843E-2</v>
      </c>
      <c r="U296" s="2">
        <v>2.2897980287671089</v>
      </c>
      <c r="V296" s="2">
        <f t="shared" si="47"/>
        <v>6.8969820143587615E-2</v>
      </c>
      <c r="W296" s="2">
        <v>7.2058419659733772</v>
      </c>
      <c r="X296" s="2">
        <f t="shared" si="48"/>
        <v>0.21704343271004151</v>
      </c>
      <c r="Y296" s="2">
        <v>6.9897540733218193</v>
      </c>
      <c r="Z296" s="2">
        <f t="shared" si="49"/>
        <v>0.21053476124463311</v>
      </c>
      <c r="AA296">
        <v>2017</v>
      </c>
      <c r="AB296">
        <v>0</v>
      </c>
      <c r="AC296">
        <v>13000000</v>
      </c>
    </row>
    <row r="297" spans="1:29" x14ac:dyDescent="0.2">
      <c r="A297">
        <v>2143</v>
      </c>
      <c r="B297" t="s">
        <v>134</v>
      </c>
      <c r="C297">
        <v>32</v>
      </c>
      <c r="D297">
        <v>2855</v>
      </c>
      <c r="E297">
        <v>2</v>
      </c>
      <c r="F297" s="2">
        <f t="shared" si="40"/>
        <v>6.3047285464098074E-2</v>
      </c>
      <c r="G297" s="2">
        <v>2.2331775967031722</v>
      </c>
      <c r="H297" s="2">
        <f t="shared" si="41"/>
        <v>7.039789271568668E-2</v>
      </c>
      <c r="I297">
        <v>1</v>
      </c>
      <c r="J297" s="2">
        <f t="shared" si="42"/>
        <v>3.1523642732049037E-2</v>
      </c>
      <c r="K297" s="2">
        <v>0.79843959584832191</v>
      </c>
      <c r="L297" s="2">
        <f t="shared" si="43"/>
        <v>2.5169724562644123E-2</v>
      </c>
      <c r="M297">
        <v>25</v>
      </c>
      <c r="N297" s="2">
        <f t="shared" si="44"/>
        <v>0.78809106830122588</v>
      </c>
      <c r="O297">
        <v>6</v>
      </c>
      <c r="P297" s="2">
        <f t="shared" si="45"/>
        <v>0.18914185639229425</v>
      </c>
      <c r="Q297" t="s">
        <v>224</v>
      </c>
      <c r="R297" t="s">
        <v>43</v>
      </c>
      <c r="S297">
        <v>2</v>
      </c>
      <c r="T297" s="2">
        <f t="shared" si="46"/>
        <v>6.3047285464098074E-2</v>
      </c>
      <c r="U297" s="2">
        <v>2.2331775967031722</v>
      </c>
      <c r="V297" s="2">
        <f t="shared" si="47"/>
        <v>7.039789271568668E-2</v>
      </c>
      <c r="W297" s="2">
        <v>5.3468391615897417</v>
      </c>
      <c r="X297" s="2">
        <f t="shared" si="48"/>
        <v>0.16855184747568361</v>
      </c>
      <c r="Y297" s="2">
        <v>5.2528979610651731</v>
      </c>
      <c r="Z297" s="2">
        <f t="shared" si="49"/>
        <v>0.16559047863252735</v>
      </c>
      <c r="AA297">
        <v>2018</v>
      </c>
      <c r="AB297">
        <v>0</v>
      </c>
      <c r="AC297">
        <v>18000000</v>
      </c>
    </row>
    <row r="298" spans="1:29" x14ac:dyDescent="0.2">
      <c r="A298">
        <v>2143</v>
      </c>
      <c r="B298" t="s">
        <v>134</v>
      </c>
      <c r="C298">
        <v>33</v>
      </c>
      <c r="D298">
        <v>2836</v>
      </c>
      <c r="E298">
        <v>3</v>
      </c>
      <c r="F298" s="2">
        <f t="shared" si="40"/>
        <v>9.5204513399153742E-2</v>
      </c>
      <c r="G298" s="2">
        <v>3.2624727189540859</v>
      </c>
      <c r="H298" s="2">
        <f t="shared" si="41"/>
        <v>0.1035340425620126</v>
      </c>
      <c r="I298">
        <v>1</v>
      </c>
      <c r="J298" s="2">
        <f t="shared" si="42"/>
        <v>3.1734837799717912E-2</v>
      </c>
      <c r="K298" s="2">
        <v>1.0873991213738921</v>
      </c>
      <c r="L298" s="2">
        <f t="shared" si="43"/>
        <v>3.4508434740356239E-2</v>
      </c>
      <c r="M298">
        <v>34</v>
      </c>
      <c r="N298" s="2">
        <f t="shared" si="44"/>
        <v>1.0789844851904091</v>
      </c>
      <c r="O298">
        <v>8</v>
      </c>
      <c r="P298" s="2">
        <f t="shared" si="45"/>
        <v>0.25387870239774329</v>
      </c>
      <c r="Q298" t="s">
        <v>224</v>
      </c>
      <c r="R298" t="s">
        <v>43</v>
      </c>
      <c r="S298">
        <v>3</v>
      </c>
      <c r="T298" s="2">
        <f t="shared" si="46"/>
        <v>9.5204513399153742E-2</v>
      </c>
      <c r="U298" s="2">
        <v>3.2624727189540859</v>
      </c>
      <c r="V298" s="2">
        <f t="shared" si="47"/>
        <v>0.1035340425620126</v>
      </c>
      <c r="W298" s="2">
        <v>4.7684991378337136</v>
      </c>
      <c r="X298" s="2">
        <f t="shared" si="48"/>
        <v>0.15132754668724763</v>
      </c>
      <c r="Y298" s="2">
        <v>3.9758879169821739</v>
      </c>
      <c r="Z298" s="2">
        <f t="shared" si="49"/>
        <v>0.12617415815528762</v>
      </c>
      <c r="AA298">
        <v>2019</v>
      </c>
      <c r="AB298">
        <v>1</v>
      </c>
      <c r="AC298">
        <v>15000000</v>
      </c>
    </row>
    <row r="299" spans="1:29" x14ac:dyDescent="0.2">
      <c r="A299">
        <v>2143</v>
      </c>
      <c r="B299" t="s">
        <v>134</v>
      </c>
      <c r="C299">
        <v>32</v>
      </c>
      <c r="D299">
        <v>2749</v>
      </c>
      <c r="E299">
        <v>1</v>
      </c>
      <c r="F299" s="2">
        <f t="shared" si="40"/>
        <v>3.2739177882866496E-2</v>
      </c>
      <c r="G299" s="2">
        <v>1.2327898098155861</v>
      </c>
      <c r="H299" s="2">
        <f t="shared" si="41"/>
        <v>4.036052487573763E-2</v>
      </c>
      <c r="I299">
        <v>0</v>
      </c>
      <c r="J299" s="2">
        <f t="shared" si="42"/>
        <v>0</v>
      </c>
      <c r="K299" s="2">
        <v>0.68342931754887104</v>
      </c>
      <c r="L299" s="2">
        <f t="shared" si="43"/>
        <v>2.2374913997598542E-2</v>
      </c>
      <c r="M299">
        <v>16</v>
      </c>
      <c r="N299" s="2">
        <f t="shared" si="44"/>
        <v>0.52382684612586394</v>
      </c>
      <c r="O299">
        <v>3</v>
      </c>
      <c r="P299" s="2">
        <f t="shared" si="45"/>
        <v>9.8217533648599475E-2</v>
      </c>
      <c r="Q299" t="s">
        <v>224</v>
      </c>
      <c r="R299" t="s">
        <v>43</v>
      </c>
      <c r="S299">
        <v>1</v>
      </c>
      <c r="T299" s="2">
        <f t="shared" si="46"/>
        <v>3.2739177882866496E-2</v>
      </c>
      <c r="U299" s="2">
        <v>1.2327898098155861</v>
      </c>
      <c r="V299" s="2">
        <f t="shared" si="47"/>
        <v>4.036052487573763E-2</v>
      </c>
      <c r="W299" s="2">
        <v>3.2205725312232971</v>
      </c>
      <c r="X299" s="2">
        <f t="shared" si="48"/>
        <v>0.10543889698439313</v>
      </c>
      <c r="Y299" s="2">
        <v>3.158881731331348</v>
      </c>
      <c r="Z299" s="2">
        <f t="shared" si="49"/>
        <v>0.10341919091299429</v>
      </c>
      <c r="AA299">
        <v>2020</v>
      </c>
      <c r="AB299">
        <v>1</v>
      </c>
      <c r="AC299">
        <v>7500000</v>
      </c>
    </row>
    <row r="300" spans="1:29" x14ac:dyDescent="0.2">
      <c r="A300">
        <v>2424</v>
      </c>
      <c r="B300" t="s">
        <v>135</v>
      </c>
      <c r="C300">
        <v>28</v>
      </c>
      <c r="D300">
        <v>1645</v>
      </c>
      <c r="E300">
        <v>3</v>
      </c>
      <c r="F300" s="2">
        <f t="shared" si="40"/>
        <v>0.1641337386018237</v>
      </c>
      <c r="G300" s="2">
        <v>1.601875882595778</v>
      </c>
      <c r="H300" s="2">
        <f t="shared" si="41"/>
        <v>8.7640625795513682E-2</v>
      </c>
      <c r="I300">
        <v>3</v>
      </c>
      <c r="J300" s="2">
        <f t="shared" si="42"/>
        <v>0.1641337386018237</v>
      </c>
      <c r="K300" s="2">
        <v>2.6344742141664028</v>
      </c>
      <c r="L300" s="2">
        <f t="shared" si="43"/>
        <v>0.1441353673404111</v>
      </c>
      <c r="M300">
        <v>16</v>
      </c>
      <c r="N300" s="2">
        <f t="shared" si="44"/>
        <v>0.87537993920972645</v>
      </c>
      <c r="O300">
        <v>21</v>
      </c>
      <c r="P300" s="2">
        <f t="shared" si="45"/>
        <v>1.1489361702127658</v>
      </c>
      <c r="Q300" t="s">
        <v>223</v>
      </c>
      <c r="R300" t="s">
        <v>74</v>
      </c>
      <c r="S300">
        <v>3</v>
      </c>
      <c r="T300" s="2">
        <f t="shared" si="46"/>
        <v>0.1641337386018237</v>
      </c>
      <c r="U300" s="2">
        <v>1.601875882595778</v>
      </c>
      <c r="V300" s="2">
        <f t="shared" si="47"/>
        <v>8.7640625795513682E-2</v>
      </c>
      <c r="W300" s="2">
        <v>9.0904148034751415</v>
      </c>
      <c r="X300" s="2">
        <f t="shared" si="48"/>
        <v>0.49734792237857917</v>
      </c>
      <c r="Y300" s="2">
        <v>5.3125849738717079</v>
      </c>
      <c r="Z300" s="2">
        <f t="shared" si="49"/>
        <v>0.29065814446714511</v>
      </c>
      <c r="AA300">
        <v>2019</v>
      </c>
      <c r="AB300">
        <v>0</v>
      </c>
      <c r="AC300">
        <v>13500000</v>
      </c>
    </row>
    <row r="301" spans="1:29" x14ac:dyDescent="0.2">
      <c r="A301">
        <v>2424</v>
      </c>
      <c r="B301" t="s">
        <v>135</v>
      </c>
      <c r="C301">
        <v>33</v>
      </c>
      <c r="D301">
        <v>1398</v>
      </c>
      <c r="E301">
        <v>0</v>
      </c>
      <c r="F301" s="2">
        <f t="shared" si="40"/>
        <v>0</v>
      </c>
      <c r="G301" s="2">
        <v>1.055132619105279</v>
      </c>
      <c r="H301" s="2">
        <f t="shared" si="41"/>
        <v>6.7926992646262604E-2</v>
      </c>
      <c r="I301">
        <v>3</v>
      </c>
      <c r="J301" s="2">
        <f t="shared" si="42"/>
        <v>0.19313304721030042</v>
      </c>
      <c r="K301" s="2">
        <v>1.9672020021826031</v>
      </c>
      <c r="L301" s="2">
        <f t="shared" si="43"/>
        <v>0.12664390571991008</v>
      </c>
      <c r="M301">
        <v>10</v>
      </c>
      <c r="N301" s="2">
        <f t="shared" si="44"/>
        <v>0.64377682403433478</v>
      </c>
      <c r="O301">
        <v>27</v>
      </c>
      <c r="P301" s="2">
        <f t="shared" si="45"/>
        <v>1.7381974248927041</v>
      </c>
      <c r="Q301" t="s">
        <v>223</v>
      </c>
      <c r="R301" t="s">
        <v>74</v>
      </c>
      <c r="S301">
        <v>0</v>
      </c>
      <c r="T301" s="2">
        <f t="shared" si="46"/>
        <v>0</v>
      </c>
      <c r="U301" s="2">
        <v>1.055132619105279</v>
      </c>
      <c r="V301" s="2">
        <f t="shared" si="47"/>
        <v>6.7926992646262604E-2</v>
      </c>
      <c r="W301" s="2">
        <v>6.6836199555546054</v>
      </c>
      <c r="X301" s="2">
        <f t="shared" si="48"/>
        <v>0.43027596280394453</v>
      </c>
      <c r="Y301" s="2">
        <v>4.9122782610356808</v>
      </c>
      <c r="Z301" s="2">
        <f t="shared" si="49"/>
        <v>0.31624108976624554</v>
      </c>
      <c r="AA301">
        <v>2020</v>
      </c>
      <c r="AB301">
        <v>0</v>
      </c>
      <c r="AC301">
        <v>13000000</v>
      </c>
    </row>
    <row r="302" spans="1:29" x14ac:dyDescent="0.2">
      <c r="A302">
        <v>2424</v>
      </c>
      <c r="B302" t="s">
        <v>135</v>
      </c>
      <c r="C302">
        <v>26</v>
      </c>
      <c r="D302">
        <v>989</v>
      </c>
      <c r="E302">
        <v>2</v>
      </c>
      <c r="F302" s="2">
        <f t="shared" si="40"/>
        <v>0.18200202224469161</v>
      </c>
      <c r="G302" s="2">
        <v>0.6649547042325139</v>
      </c>
      <c r="H302" s="2">
        <f t="shared" si="41"/>
        <v>6.0511550435719159E-2</v>
      </c>
      <c r="I302">
        <v>3</v>
      </c>
      <c r="J302" s="2">
        <f t="shared" si="42"/>
        <v>0.27300303336703741</v>
      </c>
      <c r="K302" s="2">
        <v>2.1970877125859261</v>
      </c>
      <c r="L302" s="2">
        <f t="shared" si="43"/>
        <v>0.19993720336980114</v>
      </c>
      <c r="M302">
        <v>14</v>
      </c>
      <c r="N302" s="2">
        <f t="shared" si="44"/>
        <v>1.2740141557128413</v>
      </c>
      <c r="O302">
        <v>12</v>
      </c>
      <c r="P302" s="2">
        <f t="shared" si="45"/>
        <v>1.0920121334681496</v>
      </c>
      <c r="Q302" t="s">
        <v>223</v>
      </c>
      <c r="R302" t="s">
        <v>74</v>
      </c>
      <c r="S302">
        <v>2</v>
      </c>
      <c r="T302" s="2">
        <f t="shared" si="46"/>
        <v>0.18200202224469161</v>
      </c>
      <c r="U302" s="2">
        <v>0.6649547042325139</v>
      </c>
      <c r="V302" s="2">
        <f t="shared" si="47"/>
        <v>6.0511550435719159E-2</v>
      </c>
      <c r="W302" s="2">
        <v>5.8075879011303186</v>
      </c>
      <c r="X302" s="2">
        <f t="shared" si="48"/>
        <v>0.52849637118476112</v>
      </c>
      <c r="Y302" s="2">
        <v>4.8615292478352794</v>
      </c>
      <c r="Z302" s="2">
        <f t="shared" si="49"/>
        <v>0.44240407715386765</v>
      </c>
      <c r="AA302">
        <v>2021</v>
      </c>
      <c r="AB302">
        <v>1</v>
      </c>
      <c r="AC302">
        <v>8000000</v>
      </c>
    </row>
    <row r="303" spans="1:29" x14ac:dyDescent="0.2">
      <c r="A303">
        <v>2424</v>
      </c>
      <c r="B303" t="s">
        <v>135</v>
      </c>
      <c r="C303">
        <v>32</v>
      </c>
      <c r="D303">
        <v>2192</v>
      </c>
      <c r="E303">
        <v>3</v>
      </c>
      <c r="F303" s="2">
        <f t="shared" si="40"/>
        <v>0.12317518248175183</v>
      </c>
      <c r="G303" s="2">
        <v>2.6738771479576831</v>
      </c>
      <c r="H303" s="2">
        <f t="shared" si="41"/>
        <v>0.10978510187782459</v>
      </c>
      <c r="I303">
        <v>1</v>
      </c>
      <c r="J303" s="2">
        <f t="shared" si="42"/>
        <v>4.105839416058394E-2</v>
      </c>
      <c r="K303" s="2">
        <v>3.361958678811789</v>
      </c>
      <c r="L303" s="2">
        <f t="shared" si="43"/>
        <v>0.13803662458625046</v>
      </c>
      <c r="M303">
        <v>22</v>
      </c>
      <c r="N303" s="2">
        <f t="shared" si="44"/>
        <v>0.90328467153284675</v>
      </c>
      <c r="O303">
        <v>38</v>
      </c>
      <c r="P303" s="2">
        <f t="shared" si="45"/>
        <v>1.5602189781021898</v>
      </c>
      <c r="Q303" t="s">
        <v>223</v>
      </c>
      <c r="R303" t="s">
        <v>74</v>
      </c>
      <c r="S303">
        <v>3</v>
      </c>
      <c r="T303" s="2">
        <f t="shared" si="46"/>
        <v>0.12317518248175183</v>
      </c>
      <c r="U303" s="2">
        <v>2.6738771479576831</v>
      </c>
      <c r="V303" s="2">
        <f t="shared" si="47"/>
        <v>0.10978510187782459</v>
      </c>
      <c r="W303" s="2">
        <v>11.84786906652152</v>
      </c>
      <c r="X303" s="2">
        <f t="shared" si="48"/>
        <v>0.48645447809623032</v>
      </c>
      <c r="Y303" s="2">
        <v>7.4171015340834856</v>
      </c>
      <c r="Z303" s="2">
        <f t="shared" si="49"/>
        <v>0.30453427831547158</v>
      </c>
      <c r="AA303">
        <v>2022</v>
      </c>
      <c r="AB303">
        <v>1</v>
      </c>
      <c r="AC303">
        <v>9000000</v>
      </c>
    </row>
    <row r="304" spans="1:29" x14ac:dyDescent="0.2">
      <c r="A304">
        <v>2505</v>
      </c>
      <c r="B304" t="s">
        <v>136</v>
      </c>
      <c r="C304">
        <v>35</v>
      </c>
      <c r="D304">
        <v>2923</v>
      </c>
      <c r="E304">
        <v>1</v>
      </c>
      <c r="F304" s="2">
        <f t="shared" si="40"/>
        <v>3.0790283954840916E-2</v>
      </c>
      <c r="G304" s="2">
        <v>0.76994020864367485</v>
      </c>
      <c r="H304" s="2">
        <f t="shared" si="41"/>
        <v>2.3706677652388208E-2</v>
      </c>
      <c r="I304">
        <v>6</v>
      </c>
      <c r="J304" s="2">
        <f t="shared" si="42"/>
        <v>0.1847417037290455</v>
      </c>
      <c r="K304" s="2">
        <v>3.3824346289038658</v>
      </c>
      <c r="L304" s="2">
        <f t="shared" si="43"/>
        <v>0.10414612268263698</v>
      </c>
      <c r="M304">
        <v>20</v>
      </c>
      <c r="N304" s="2">
        <f t="shared" si="44"/>
        <v>0.61580567909681827</v>
      </c>
      <c r="O304">
        <v>24</v>
      </c>
      <c r="P304" s="2">
        <f t="shared" si="45"/>
        <v>0.73896681491618199</v>
      </c>
      <c r="Q304" t="s">
        <v>224</v>
      </c>
      <c r="R304" t="s">
        <v>72</v>
      </c>
      <c r="S304">
        <v>1</v>
      </c>
      <c r="T304" s="2">
        <f t="shared" si="46"/>
        <v>3.0790283954840916E-2</v>
      </c>
      <c r="U304" s="2">
        <v>0.76994020864367485</v>
      </c>
      <c r="V304" s="2">
        <f t="shared" si="47"/>
        <v>2.3706677652388208E-2</v>
      </c>
      <c r="W304" s="2">
        <v>10.311115551739929</v>
      </c>
      <c r="X304" s="2">
        <f t="shared" si="48"/>
        <v>0.31748217572924858</v>
      </c>
      <c r="Y304" s="2">
        <v>7.6240512914955616</v>
      </c>
      <c r="Z304" s="2">
        <f t="shared" si="49"/>
        <v>0.23474670415141996</v>
      </c>
      <c r="AA304">
        <v>2014</v>
      </c>
      <c r="AB304">
        <v>0</v>
      </c>
      <c r="AC304">
        <v>20000000</v>
      </c>
    </row>
    <row r="305" spans="1:29" x14ac:dyDescent="0.2">
      <c r="A305">
        <v>2505</v>
      </c>
      <c r="B305" t="s">
        <v>136</v>
      </c>
      <c r="C305">
        <v>20</v>
      </c>
      <c r="D305">
        <v>1441</v>
      </c>
      <c r="E305">
        <v>0</v>
      </c>
      <c r="F305" s="2">
        <f t="shared" si="40"/>
        <v>0</v>
      </c>
      <c r="G305" s="2">
        <v>0.13771680183708671</v>
      </c>
      <c r="H305" s="2">
        <f t="shared" si="41"/>
        <v>8.6013269710879976E-3</v>
      </c>
      <c r="I305">
        <v>0</v>
      </c>
      <c r="J305" s="2">
        <f t="shared" si="42"/>
        <v>0</v>
      </c>
      <c r="K305" s="2">
        <v>1.109391506761312</v>
      </c>
      <c r="L305" s="2">
        <f t="shared" si="43"/>
        <v>6.9288851914308183E-2</v>
      </c>
      <c r="M305">
        <v>2</v>
      </c>
      <c r="N305" s="2">
        <f t="shared" si="44"/>
        <v>0.12491325468424705</v>
      </c>
      <c r="O305">
        <v>13</v>
      </c>
      <c r="P305" s="2">
        <f t="shared" si="45"/>
        <v>0.81193615544760589</v>
      </c>
      <c r="Q305" t="s">
        <v>224</v>
      </c>
      <c r="R305" t="s">
        <v>72</v>
      </c>
      <c r="S305">
        <v>0</v>
      </c>
      <c r="T305" s="2">
        <f t="shared" si="46"/>
        <v>0</v>
      </c>
      <c r="U305" s="2">
        <v>0.13771680183708671</v>
      </c>
      <c r="V305" s="2">
        <f t="shared" si="47"/>
        <v>8.6013269710879976E-3</v>
      </c>
      <c r="W305" s="2">
        <v>4.136461054906249</v>
      </c>
      <c r="X305" s="2">
        <f t="shared" si="48"/>
        <v>0.25834940662148675</v>
      </c>
      <c r="Y305" s="2">
        <v>3.3217071443796158</v>
      </c>
      <c r="Z305" s="2">
        <f t="shared" si="49"/>
        <v>0.20746262525618697</v>
      </c>
      <c r="AA305">
        <v>2015</v>
      </c>
      <c r="AB305">
        <v>0</v>
      </c>
      <c r="AC305">
        <v>18000000</v>
      </c>
    </row>
    <row r="306" spans="1:29" x14ac:dyDescent="0.2">
      <c r="A306">
        <v>2505</v>
      </c>
      <c r="B306" t="s">
        <v>136</v>
      </c>
      <c r="C306">
        <v>27</v>
      </c>
      <c r="D306">
        <v>2090</v>
      </c>
      <c r="E306">
        <v>1</v>
      </c>
      <c r="F306" s="2">
        <f t="shared" si="40"/>
        <v>4.3062200956937802E-2</v>
      </c>
      <c r="G306" s="2">
        <v>0.87713010609149933</v>
      </c>
      <c r="H306" s="2">
        <f t="shared" si="41"/>
        <v>3.7771152893892317E-2</v>
      </c>
      <c r="I306">
        <v>2</v>
      </c>
      <c r="J306" s="2">
        <f t="shared" si="42"/>
        <v>8.6124401913875603E-2</v>
      </c>
      <c r="K306" s="2">
        <v>3.0977870253846049</v>
      </c>
      <c r="L306" s="2">
        <f t="shared" si="43"/>
        <v>0.13339752740890642</v>
      </c>
      <c r="M306">
        <v>14</v>
      </c>
      <c r="N306" s="2">
        <f t="shared" si="44"/>
        <v>0.60287081339712922</v>
      </c>
      <c r="O306">
        <v>24</v>
      </c>
      <c r="P306" s="2">
        <f t="shared" si="45"/>
        <v>1.0334928229665072</v>
      </c>
      <c r="Q306" t="s">
        <v>224</v>
      </c>
      <c r="R306" t="s">
        <v>72</v>
      </c>
      <c r="S306">
        <v>1</v>
      </c>
      <c r="T306" s="2">
        <f t="shared" si="46"/>
        <v>4.3062200956937802E-2</v>
      </c>
      <c r="U306" s="2">
        <v>0.87713010609149933</v>
      </c>
      <c r="V306" s="2">
        <f t="shared" si="47"/>
        <v>3.7771152893892317E-2</v>
      </c>
      <c r="W306" s="2">
        <v>6.4557618834078312</v>
      </c>
      <c r="X306" s="2">
        <f t="shared" si="48"/>
        <v>0.27799931555344726</v>
      </c>
      <c r="Y306" s="2">
        <v>4.0679396432824433</v>
      </c>
      <c r="Z306" s="2">
        <f t="shared" si="49"/>
        <v>0.17517443439972244</v>
      </c>
      <c r="AA306">
        <v>2016</v>
      </c>
      <c r="AB306">
        <v>1</v>
      </c>
      <c r="AC306">
        <v>18000000</v>
      </c>
    </row>
    <row r="307" spans="1:29" x14ac:dyDescent="0.2">
      <c r="A307">
        <v>2505</v>
      </c>
      <c r="B307" t="s">
        <v>136</v>
      </c>
      <c r="C307">
        <v>34</v>
      </c>
      <c r="D307">
        <v>2919</v>
      </c>
      <c r="E307">
        <v>0</v>
      </c>
      <c r="F307" s="2">
        <f t="shared" si="40"/>
        <v>0</v>
      </c>
      <c r="G307" s="2">
        <v>0.40047369711101061</v>
      </c>
      <c r="H307" s="2">
        <f t="shared" si="41"/>
        <v>1.2347596005478231E-2</v>
      </c>
      <c r="I307">
        <v>3</v>
      </c>
      <c r="J307" s="2">
        <f t="shared" si="42"/>
        <v>9.249743062692703E-2</v>
      </c>
      <c r="K307" s="2">
        <v>4.225520359352231</v>
      </c>
      <c r="L307" s="2">
        <f t="shared" si="43"/>
        <v>0.13028325876728358</v>
      </c>
      <c r="M307">
        <v>14</v>
      </c>
      <c r="N307" s="2">
        <f t="shared" si="44"/>
        <v>0.43165467625899279</v>
      </c>
      <c r="O307">
        <v>36</v>
      </c>
      <c r="P307" s="2">
        <f t="shared" si="45"/>
        <v>1.1099691675231242</v>
      </c>
      <c r="Q307" t="s">
        <v>224</v>
      </c>
      <c r="R307" t="s">
        <v>72</v>
      </c>
      <c r="S307">
        <v>0</v>
      </c>
      <c r="T307" s="2">
        <f t="shared" si="46"/>
        <v>0</v>
      </c>
      <c r="U307" s="2">
        <v>0.40047369711101061</v>
      </c>
      <c r="V307" s="2">
        <f t="shared" si="47"/>
        <v>1.2347596005478231E-2</v>
      </c>
      <c r="W307" s="2">
        <v>9.2949481327086687</v>
      </c>
      <c r="X307" s="2">
        <f t="shared" si="48"/>
        <v>0.28658627336203502</v>
      </c>
      <c r="Y307" s="2">
        <v>6.2376700472086668</v>
      </c>
      <c r="Z307" s="2">
        <f t="shared" si="49"/>
        <v>0.19232281748844812</v>
      </c>
      <c r="AA307">
        <v>2017</v>
      </c>
      <c r="AB307">
        <v>1</v>
      </c>
      <c r="AC307">
        <v>35000000</v>
      </c>
    </row>
    <row r="308" spans="1:29" x14ac:dyDescent="0.2">
      <c r="A308">
        <v>2547</v>
      </c>
      <c r="B308" t="s">
        <v>137</v>
      </c>
      <c r="C308">
        <v>33</v>
      </c>
      <c r="D308">
        <v>2940</v>
      </c>
      <c r="E308">
        <v>7</v>
      </c>
      <c r="F308" s="2">
        <f t="shared" si="40"/>
        <v>0.2142857142857143</v>
      </c>
      <c r="G308" s="2">
        <v>4.4323344407603136</v>
      </c>
      <c r="H308" s="2">
        <f t="shared" si="41"/>
        <v>0.13568370737021368</v>
      </c>
      <c r="I308">
        <v>5</v>
      </c>
      <c r="J308" s="2">
        <f t="shared" si="42"/>
        <v>0.15306122448979592</v>
      </c>
      <c r="K308" s="2">
        <v>5.1396282901987433</v>
      </c>
      <c r="L308" s="2">
        <f t="shared" si="43"/>
        <v>0.15733555990404316</v>
      </c>
      <c r="M308">
        <v>48</v>
      </c>
      <c r="N308" s="2">
        <f t="shared" si="44"/>
        <v>1.4693877551020409</v>
      </c>
      <c r="O308">
        <v>42</v>
      </c>
      <c r="P308" s="2">
        <f t="shared" si="45"/>
        <v>1.2857142857142856</v>
      </c>
      <c r="Q308" t="s">
        <v>224</v>
      </c>
      <c r="R308" t="s">
        <v>57</v>
      </c>
      <c r="S308">
        <v>7</v>
      </c>
      <c r="T308" s="2">
        <f t="shared" si="46"/>
        <v>0.2142857142857143</v>
      </c>
      <c r="U308" s="2">
        <v>4.4323344407603136</v>
      </c>
      <c r="V308" s="2">
        <f t="shared" si="47"/>
        <v>0.13568370737021368</v>
      </c>
      <c r="W308" s="2">
        <v>16.054121345281601</v>
      </c>
      <c r="X308" s="2">
        <f t="shared" si="48"/>
        <v>0.49145269424331428</v>
      </c>
      <c r="Y308" s="2">
        <v>10.365893311798571</v>
      </c>
      <c r="Z308" s="2">
        <f t="shared" si="49"/>
        <v>0.31732326464689503</v>
      </c>
      <c r="AA308">
        <v>2020</v>
      </c>
      <c r="AB308">
        <v>0</v>
      </c>
      <c r="AC308">
        <v>50000000</v>
      </c>
    </row>
    <row r="309" spans="1:29" x14ac:dyDescent="0.2">
      <c r="A309">
        <v>2547</v>
      </c>
      <c r="B309" t="s">
        <v>137</v>
      </c>
      <c r="C309">
        <v>32</v>
      </c>
      <c r="D309">
        <v>2716</v>
      </c>
      <c r="E309">
        <v>5</v>
      </c>
      <c r="F309" s="2">
        <f t="shared" si="40"/>
        <v>0.16568483063328424</v>
      </c>
      <c r="G309" s="2">
        <v>5.3001368707045913</v>
      </c>
      <c r="H309" s="2">
        <f t="shared" si="41"/>
        <v>0.17563045595118307</v>
      </c>
      <c r="I309">
        <v>6</v>
      </c>
      <c r="J309" s="2">
        <f t="shared" si="42"/>
        <v>0.19882179675994108</v>
      </c>
      <c r="K309" s="2">
        <v>5.6615872997790584</v>
      </c>
      <c r="L309" s="2">
        <f t="shared" si="43"/>
        <v>0.18760782657588929</v>
      </c>
      <c r="M309">
        <v>42</v>
      </c>
      <c r="N309" s="2">
        <f t="shared" si="44"/>
        <v>1.3917525773195876</v>
      </c>
      <c r="O309">
        <v>51</v>
      </c>
      <c r="P309" s="2">
        <f t="shared" si="45"/>
        <v>1.6899852724594993</v>
      </c>
      <c r="Q309" t="s">
        <v>224</v>
      </c>
      <c r="R309" t="s">
        <v>57</v>
      </c>
      <c r="S309">
        <v>4</v>
      </c>
      <c r="T309" s="2">
        <f t="shared" si="46"/>
        <v>0.13254786450662739</v>
      </c>
      <c r="U309" s="2">
        <v>3.777537888847291</v>
      </c>
      <c r="V309" s="2">
        <f t="shared" si="47"/>
        <v>0.12517614506489549</v>
      </c>
      <c r="W309" s="2">
        <v>13.639706024900081</v>
      </c>
      <c r="X309" s="2">
        <f t="shared" si="48"/>
        <v>0.45197847652467132</v>
      </c>
      <c r="Y309" s="2">
        <v>8.629744665697217</v>
      </c>
      <c r="Z309" s="2">
        <f t="shared" si="49"/>
        <v>0.28596355666890627</v>
      </c>
      <c r="AA309">
        <v>2021</v>
      </c>
      <c r="AB309">
        <v>0</v>
      </c>
      <c r="AC309">
        <v>55000000</v>
      </c>
    </row>
    <row r="310" spans="1:29" x14ac:dyDescent="0.2">
      <c r="A310">
        <v>2547</v>
      </c>
      <c r="B310" t="s">
        <v>137</v>
      </c>
      <c r="C310">
        <v>32</v>
      </c>
      <c r="D310">
        <v>2781</v>
      </c>
      <c r="E310">
        <v>4</v>
      </c>
      <c r="F310" s="2">
        <f t="shared" si="40"/>
        <v>0.12944983818770225</v>
      </c>
      <c r="G310" s="2">
        <v>4.2100041322410107</v>
      </c>
      <c r="H310" s="2">
        <f t="shared" si="41"/>
        <v>0.13624608842203917</v>
      </c>
      <c r="I310">
        <v>3</v>
      </c>
      <c r="J310" s="2">
        <f t="shared" si="42"/>
        <v>9.7087378640776684E-2</v>
      </c>
      <c r="K310" s="2">
        <v>2.9274483611807232</v>
      </c>
      <c r="L310" s="2">
        <f t="shared" si="43"/>
        <v>9.4739429164424696E-2</v>
      </c>
      <c r="M310">
        <v>52</v>
      </c>
      <c r="N310" s="2">
        <f t="shared" si="44"/>
        <v>1.6828478964401294</v>
      </c>
      <c r="O310">
        <v>37</v>
      </c>
      <c r="P310" s="2">
        <f t="shared" si="45"/>
        <v>1.1974110032362459</v>
      </c>
      <c r="Q310" t="s">
        <v>224</v>
      </c>
      <c r="R310" t="s">
        <v>57</v>
      </c>
      <c r="S310">
        <v>3</v>
      </c>
      <c r="T310" s="2">
        <f t="shared" si="46"/>
        <v>9.7087378640776684E-2</v>
      </c>
      <c r="U310" s="2">
        <v>3.4487054571509361</v>
      </c>
      <c r="V310" s="2">
        <f t="shared" si="47"/>
        <v>0.11160859084630861</v>
      </c>
      <c r="W310" s="2">
        <v>13.79786100797355</v>
      </c>
      <c r="X310" s="2">
        <f t="shared" si="48"/>
        <v>0.44653271870464561</v>
      </c>
      <c r="Y310" s="2">
        <v>9.3885052558034658</v>
      </c>
      <c r="Z310" s="2">
        <f t="shared" si="49"/>
        <v>0.30383512154703773</v>
      </c>
      <c r="AA310">
        <v>2022</v>
      </c>
      <c r="AB310">
        <v>1</v>
      </c>
      <c r="AC310">
        <v>60000000</v>
      </c>
    </row>
    <row r="311" spans="1:29" x14ac:dyDescent="0.2">
      <c r="A311">
        <v>2547</v>
      </c>
      <c r="B311" t="s">
        <v>137</v>
      </c>
      <c r="C311">
        <v>32</v>
      </c>
      <c r="D311">
        <v>2804</v>
      </c>
      <c r="E311">
        <v>5</v>
      </c>
      <c r="F311" s="2">
        <f t="shared" si="40"/>
        <v>0.16048502139800286</v>
      </c>
      <c r="G311" s="2">
        <v>5.6736987615004182</v>
      </c>
      <c r="H311" s="2">
        <f t="shared" si="41"/>
        <v>0.18210873342904338</v>
      </c>
      <c r="I311">
        <v>4</v>
      </c>
      <c r="J311" s="2">
        <f t="shared" si="42"/>
        <v>0.12838801711840228</v>
      </c>
      <c r="K311" s="2">
        <v>5.1168608088046312</v>
      </c>
      <c r="L311" s="2">
        <f t="shared" si="43"/>
        <v>0.16423590327832269</v>
      </c>
      <c r="M311">
        <v>57</v>
      </c>
      <c r="N311" s="2">
        <f t="shared" si="44"/>
        <v>1.8295292439372324</v>
      </c>
      <c r="O311">
        <v>44</v>
      </c>
      <c r="P311" s="2">
        <f t="shared" si="45"/>
        <v>1.4122681883024251</v>
      </c>
      <c r="Q311" t="s">
        <v>224</v>
      </c>
      <c r="R311" t="s">
        <v>57</v>
      </c>
      <c r="S311">
        <v>4</v>
      </c>
      <c r="T311" s="2">
        <f t="shared" si="46"/>
        <v>0.12838801711840228</v>
      </c>
      <c r="U311" s="2">
        <v>4.1511010965332389</v>
      </c>
      <c r="V311" s="2">
        <f t="shared" si="47"/>
        <v>0.13323790966048199</v>
      </c>
      <c r="W311" s="2">
        <v>19.027444131672379</v>
      </c>
      <c r="X311" s="2">
        <f t="shared" si="48"/>
        <v>0.61072395572414906</v>
      </c>
      <c r="Y311" s="2">
        <v>14.887238096445801</v>
      </c>
      <c r="Z311" s="2">
        <f t="shared" si="49"/>
        <v>0.47783574489305353</v>
      </c>
      <c r="AA311">
        <v>2023</v>
      </c>
      <c r="AB311">
        <v>1</v>
      </c>
      <c r="AC311">
        <v>60000000</v>
      </c>
    </row>
    <row r="312" spans="1:29" x14ac:dyDescent="0.2">
      <c r="A312">
        <v>2665</v>
      </c>
      <c r="B312" t="s">
        <v>138</v>
      </c>
      <c r="C312">
        <v>21</v>
      </c>
      <c r="D312">
        <v>1643</v>
      </c>
      <c r="E312">
        <v>0</v>
      </c>
      <c r="F312" s="2">
        <f t="shared" si="40"/>
        <v>0</v>
      </c>
      <c r="G312" s="2">
        <v>0</v>
      </c>
      <c r="H312" s="2">
        <f t="shared" si="41"/>
        <v>0</v>
      </c>
      <c r="I312">
        <v>1</v>
      </c>
      <c r="J312" s="2">
        <f t="shared" si="42"/>
        <v>5.4777845404747415E-2</v>
      </c>
      <c r="K312" s="2">
        <v>0.2079646987840533</v>
      </c>
      <c r="L312" s="2">
        <f t="shared" si="43"/>
        <v>1.1391858119637735E-2</v>
      </c>
      <c r="M312">
        <v>0</v>
      </c>
      <c r="N312" s="2">
        <f t="shared" si="44"/>
        <v>0</v>
      </c>
      <c r="O312">
        <v>5</v>
      </c>
      <c r="P312" s="2">
        <f t="shared" si="45"/>
        <v>0.27388922702373703</v>
      </c>
      <c r="Q312" t="s">
        <v>224</v>
      </c>
      <c r="R312" t="s">
        <v>23</v>
      </c>
      <c r="S312">
        <v>0</v>
      </c>
      <c r="T312" s="2">
        <f t="shared" si="46"/>
        <v>0</v>
      </c>
      <c r="U312" s="2">
        <v>0</v>
      </c>
      <c r="V312" s="2">
        <f t="shared" si="47"/>
        <v>0</v>
      </c>
      <c r="W312" s="2">
        <v>3.550565192475915</v>
      </c>
      <c r="X312" s="2">
        <f t="shared" si="48"/>
        <v>0.1944923112129229</v>
      </c>
      <c r="Y312" s="2">
        <v>3.3426016308367248</v>
      </c>
      <c r="Z312" s="2">
        <f t="shared" si="49"/>
        <v>0.1831005153836307</v>
      </c>
      <c r="AA312">
        <v>2019</v>
      </c>
      <c r="AB312">
        <v>0</v>
      </c>
      <c r="AC312">
        <v>9500000</v>
      </c>
    </row>
    <row r="313" spans="1:29" x14ac:dyDescent="0.2">
      <c r="A313">
        <v>2665</v>
      </c>
      <c r="B313" t="s">
        <v>138</v>
      </c>
      <c r="C313">
        <v>32</v>
      </c>
      <c r="D313">
        <v>2836</v>
      </c>
      <c r="E313">
        <v>1</v>
      </c>
      <c r="F313" s="2">
        <f t="shared" si="40"/>
        <v>3.1734837799717912E-2</v>
      </c>
      <c r="G313" s="2">
        <v>0.36404840461909771</v>
      </c>
      <c r="H313" s="2">
        <f t="shared" si="41"/>
        <v>1.1553017071833142E-2</v>
      </c>
      <c r="I313">
        <v>0</v>
      </c>
      <c r="J313" s="2">
        <f t="shared" si="42"/>
        <v>0</v>
      </c>
      <c r="K313" s="2">
        <v>0.66569199785590172</v>
      </c>
      <c r="L313" s="2">
        <f t="shared" si="43"/>
        <v>2.1125627576527205E-2</v>
      </c>
      <c r="M313">
        <v>7</v>
      </c>
      <c r="N313" s="2">
        <f t="shared" si="44"/>
        <v>0.2221438645980254</v>
      </c>
      <c r="O313">
        <v>12</v>
      </c>
      <c r="P313" s="2">
        <f t="shared" si="45"/>
        <v>0.38081805359661497</v>
      </c>
      <c r="Q313" t="s">
        <v>224</v>
      </c>
      <c r="R313" t="s">
        <v>23</v>
      </c>
      <c r="S313">
        <v>1</v>
      </c>
      <c r="T313" s="2">
        <f t="shared" si="46"/>
        <v>3.1734837799717912E-2</v>
      </c>
      <c r="U313" s="2">
        <v>0.36404840461909771</v>
      </c>
      <c r="V313" s="2">
        <f t="shared" si="47"/>
        <v>1.1553017071833142E-2</v>
      </c>
      <c r="W313" s="2">
        <v>4.2183235222473741</v>
      </c>
      <c r="X313" s="2">
        <f t="shared" si="48"/>
        <v>0.13386781276525517</v>
      </c>
      <c r="Y313" s="2">
        <v>3.655623627826571</v>
      </c>
      <c r="Z313" s="2">
        <f t="shared" si="49"/>
        <v>0.11601062288589259</v>
      </c>
      <c r="AA313">
        <v>2020</v>
      </c>
      <c r="AB313">
        <v>0</v>
      </c>
      <c r="AC313">
        <v>7000000</v>
      </c>
    </row>
    <row r="314" spans="1:29" x14ac:dyDescent="0.2">
      <c r="A314">
        <v>2665</v>
      </c>
      <c r="B314" t="s">
        <v>138</v>
      </c>
      <c r="C314">
        <v>29</v>
      </c>
      <c r="D314">
        <v>2584</v>
      </c>
      <c r="E314">
        <v>2</v>
      </c>
      <c r="F314" s="2">
        <f t="shared" si="40"/>
        <v>6.9659442724458204E-2</v>
      </c>
      <c r="G314" s="2">
        <v>2.5816937256604429</v>
      </c>
      <c r="H314" s="2">
        <f t="shared" si="41"/>
        <v>8.991967310736837E-2</v>
      </c>
      <c r="I314">
        <v>0</v>
      </c>
      <c r="J314" s="2">
        <f t="shared" si="42"/>
        <v>0</v>
      </c>
      <c r="K314" s="2">
        <v>1.1332300901412959</v>
      </c>
      <c r="L314" s="2">
        <f t="shared" si="43"/>
        <v>3.9470088278915107E-2</v>
      </c>
      <c r="M314">
        <v>12</v>
      </c>
      <c r="N314" s="2">
        <f t="shared" si="44"/>
        <v>0.41795665634674922</v>
      </c>
      <c r="O314">
        <v>9</v>
      </c>
      <c r="P314" s="2">
        <f t="shared" si="45"/>
        <v>0.31346749226006193</v>
      </c>
      <c r="Q314" t="s">
        <v>224</v>
      </c>
      <c r="R314" t="s">
        <v>23</v>
      </c>
      <c r="S314">
        <v>1</v>
      </c>
      <c r="T314" s="2">
        <f t="shared" si="46"/>
        <v>3.4829721362229102E-2</v>
      </c>
      <c r="U314" s="2">
        <v>1.8239169120788581</v>
      </c>
      <c r="V314" s="2">
        <f t="shared" si="47"/>
        <v>6.3526517835563942E-2</v>
      </c>
      <c r="W314" s="2">
        <v>4.0294315926730633</v>
      </c>
      <c r="X314" s="2">
        <f t="shared" si="48"/>
        <v>0.14034397962096584</v>
      </c>
      <c r="Y314" s="2">
        <v>3.7635689741000542</v>
      </c>
      <c r="Z314" s="2">
        <f t="shared" si="49"/>
        <v>0.13108405869543532</v>
      </c>
      <c r="AA314">
        <v>2021</v>
      </c>
      <c r="AB314">
        <v>1</v>
      </c>
      <c r="AC314">
        <v>3500000</v>
      </c>
    </row>
    <row r="315" spans="1:29" x14ac:dyDescent="0.2">
      <c r="A315">
        <v>2665</v>
      </c>
      <c r="B315" t="s">
        <v>138</v>
      </c>
      <c r="C315">
        <v>32</v>
      </c>
      <c r="D315">
        <v>2797</v>
      </c>
      <c r="E315">
        <v>0</v>
      </c>
      <c r="F315" s="2">
        <f t="shared" si="40"/>
        <v>0</v>
      </c>
      <c r="G315" s="2">
        <v>1.346700431779027</v>
      </c>
      <c r="H315" s="2">
        <f t="shared" si="41"/>
        <v>4.3333228051523925E-2</v>
      </c>
      <c r="I315">
        <v>1</v>
      </c>
      <c r="J315" s="2">
        <f t="shared" si="42"/>
        <v>3.2177332856632102E-2</v>
      </c>
      <c r="K315" s="2">
        <v>1.6698649385944011</v>
      </c>
      <c r="L315" s="2">
        <f t="shared" si="43"/>
        <v>5.3731799954771578E-2</v>
      </c>
      <c r="M315">
        <v>15</v>
      </c>
      <c r="N315" s="2">
        <f t="shared" si="44"/>
        <v>0.48265999284948158</v>
      </c>
      <c r="O315">
        <v>11</v>
      </c>
      <c r="P315" s="2">
        <f t="shared" si="45"/>
        <v>0.35395066142295317</v>
      </c>
      <c r="Q315" t="s">
        <v>224</v>
      </c>
      <c r="R315" t="s">
        <v>23</v>
      </c>
      <c r="S315">
        <v>0</v>
      </c>
      <c r="T315" s="2">
        <f t="shared" si="46"/>
        <v>0</v>
      </c>
      <c r="U315" s="2">
        <v>1.346700431779027</v>
      </c>
      <c r="V315" s="2">
        <f t="shared" si="47"/>
        <v>4.3333228051523925E-2</v>
      </c>
      <c r="W315" s="2">
        <v>2.683119592256844</v>
      </c>
      <c r="X315" s="2">
        <f t="shared" si="48"/>
        <v>8.6335632214199487E-2</v>
      </c>
      <c r="Y315" s="2">
        <v>2.0353667791932821</v>
      </c>
      <c r="Z315" s="2">
        <f t="shared" si="49"/>
        <v>6.5492674339433468E-2</v>
      </c>
      <c r="AA315">
        <v>2022</v>
      </c>
      <c r="AB315">
        <v>1</v>
      </c>
      <c r="AC315">
        <v>3000000</v>
      </c>
    </row>
    <row r="316" spans="1:29" x14ac:dyDescent="0.2">
      <c r="A316">
        <v>3226</v>
      </c>
      <c r="B316" t="s">
        <v>139</v>
      </c>
      <c r="C316">
        <v>21</v>
      </c>
      <c r="D316">
        <v>1405</v>
      </c>
      <c r="E316">
        <v>1</v>
      </c>
      <c r="F316" s="2">
        <f t="shared" si="40"/>
        <v>6.4056939501779361E-2</v>
      </c>
      <c r="G316" s="2">
        <v>3.1700700726360078</v>
      </c>
      <c r="H316" s="2">
        <f t="shared" si="41"/>
        <v>0.20306498685924607</v>
      </c>
      <c r="I316">
        <v>13</v>
      </c>
      <c r="J316" s="2">
        <f t="shared" si="42"/>
        <v>0.83274021352313166</v>
      </c>
      <c r="K316" s="2">
        <v>8.7230815403163433</v>
      </c>
      <c r="L316" s="2">
        <f t="shared" si="43"/>
        <v>0.55877390649713232</v>
      </c>
      <c r="M316">
        <v>47</v>
      </c>
      <c r="N316" s="2">
        <f t="shared" si="44"/>
        <v>3.0106761565836302</v>
      </c>
      <c r="O316">
        <v>45</v>
      </c>
      <c r="P316" s="2">
        <f t="shared" si="45"/>
        <v>2.8825622775800714</v>
      </c>
      <c r="Q316" t="s">
        <v>222</v>
      </c>
      <c r="R316" t="s">
        <v>129</v>
      </c>
      <c r="S316">
        <v>1</v>
      </c>
      <c r="T316" s="2">
        <f t="shared" si="46"/>
        <v>6.4056939501779361E-2</v>
      </c>
      <c r="U316" s="2">
        <v>3.1700700726360078</v>
      </c>
      <c r="V316" s="2">
        <f t="shared" si="47"/>
        <v>0.20306498685924607</v>
      </c>
      <c r="W316" s="2">
        <v>15.586491797119381</v>
      </c>
      <c r="X316" s="2">
        <f t="shared" si="48"/>
        <v>0.99842296209305637</v>
      </c>
      <c r="Y316" s="2">
        <v>6.4340180866420269</v>
      </c>
      <c r="Z316" s="2">
        <f t="shared" si="49"/>
        <v>0.41214350732938249</v>
      </c>
      <c r="AA316">
        <v>2021</v>
      </c>
      <c r="AB316">
        <v>0</v>
      </c>
      <c r="AC316">
        <v>30000000</v>
      </c>
    </row>
    <row r="317" spans="1:29" x14ac:dyDescent="0.2">
      <c r="A317">
        <v>3226</v>
      </c>
      <c r="B317" t="s">
        <v>139</v>
      </c>
      <c r="C317">
        <v>25</v>
      </c>
      <c r="D317">
        <v>1427</v>
      </c>
      <c r="E317">
        <v>5</v>
      </c>
      <c r="F317" s="2">
        <f t="shared" si="40"/>
        <v>0.31534688156972668</v>
      </c>
      <c r="G317" s="2">
        <v>5.2022945005446672</v>
      </c>
      <c r="H317" s="2">
        <f t="shared" si="41"/>
        <v>0.32810546955081993</v>
      </c>
      <c r="I317">
        <v>7</v>
      </c>
      <c r="J317" s="2">
        <f t="shared" si="42"/>
        <v>0.44148563419761738</v>
      </c>
      <c r="K317" s="2">
        <v>5.9506505243480214</v>
      </c>
      <c r="L317" s="2">
        <f t="shared" si="43"/>
        <v>0.37530381723288153</v>
      </c>
      <c r="M317">
        <v>49</v>
      </c>
      <c r="N317" s="2">
        <f t="shared" si="44"/>
        <v>3.0903994393833214</v>
      </c>
      <c r="O317">
        <v>41</v>
      </c>
      <c r="P317" s="2">
        <f t="shared" si="45"/>
        <v>2.5858444288717588</v>
      </c>
      <c r="Q317" t="s">
        <v>222</v>
      </c>
      <c r="R317" t="s">
        <v>129</v>
      </c>
      <c r="S317">
        <v>5</v>
      </c>
      <c r="T317" s="2">
        <f t="shared" si="46"/>
        <v>0.31534688156972668</v>
      </c>
      <c r="U317" s="2">
        <v>5.2022945005446672</v>
      </c>
      <c r="V317" s="2">
        <f t="shared" si="47"/>
        <v>0.32810546955081993</v>
      </c>
      <c r="W317" s="2">
        <v>16.991774890571829</v>
      </c>
      <c r="X317" s="2">
        <f t="shared" si="48"/>
        <v>1.0716606448153221</v>
      </c>
      <c r="Y317" s="2">
        <v>7.3921117503196001</v>
      </c>
      <c r="Z317" s="2">
        <f t="shared" si="49"/>
        <v>0.46621587773564405</v>
      </c>
      <c r="AA317">
        <v>2022</v>
      </c>
      <c r="AB317">
        <v>0</v>
      </c>
      <c r="AC317">
        <v>60000000</v>
      </c>
    </row>
    <row r="318" spans="1:29" x14ac:dyDescent="0.2">
      <c r="A318">
        <v>3226</v>
      </c>
      <c r="B318" t="s">
        <v>139</v>
      </c>
      <c r="C318">
        <v>26</v>
      </c>
      <c r="D318">
        <v>1522</v>
      </c>
      <c r="E318">
        <v>3</v>
      </c>
      <c r="F318" s="2">
        <f t="shared" si="40"/>
        <v>0.1773981603153745</v>
      </c>
      <c r="G318" s="2">
        <v>5.4675316475331783</v>
      </c>
      <c r="H318" s="2">
        <f t="shared" si="41"/>
        <v>0.32331001857949149</v>
      </c>
      <c r="I318">
        <v>8</v>
      </c>
      <c r="J318" s="2">
        <f t="shared" si="42"/>
        <v>0.47306176084099871</v>
      </c>
      <c r="K318" s="2">
        <v>7.2144804298877716</v>
      </c>
      <c r="L318" s="2">
        <f t="shared" si="43"/>
        <v>0.42661185196445434</v>
      </c>
      <c r="M318">
        <v>43</v>
      </c>
      <c r="N318" s="2">
        <f t="shared" si="44"/>
        <v>2.5427069645203679</v>
      </c>
      <c r="O318">
        <v>59</v>
      </c>
      <c r="P318" s="2">
        <f t="shared" si="45"/>
        <v>3.4888304862023656</v>
      </c>
      <c r="Q318" t="s">
        <v>222</v>
      </c>
      <c r="R318" t="s">
        <v>132</v>
      </c>
      <c r="S318">
        <v>3</v>
      </c>
      <c r="T318" s="2">
        <f t="shared" si="46"/>
        <v>0.1773981603153745</v>
      </c>
      <c r="U318" s="2">
        <v>5.4675316475331783</v>
      </c>
      <c r="V318" s="2">
        <f t="shared" si="47"/>
        <v>0.32331001857949149</v>
      </c>
      <c r="W318" s="2">
        <v>17.94719810411334</v>
      </c>
      <c r="X318" s="2">
        <f t="shared" si="48"/>
        <v>1.0612666421617611</v>
      </c>
      <c r="Y318" s="2">
        <v>8.7331938743591309</v>
      </c>
      <c r="Z318" s="2">
        <f t="shared" si="49"/>
        <v>0.51641750899626926</v>
      </c>
      <c r="AA318">
        <v>2023</v>
      </c>
      <c r="AB318">
        <v>1</v>
      </c>
      <c r="AC318">
        <v>60000000</v>
      </c>
    </row>
    <row r="319" spans="1:29" x14ac:dyDescent="0.2">
      <c r="A319">
        <v>3226</v>
      </c>
      <c r="B319" t="s">
        <v>139</v>
      </c>
      <c r="C319">
        <v>29</v>
      </c>
      <c r="D319">
        <v>1747</v>
      </c>
      <c r="E319">
        <v>21</v>
      </c>
      <c r="F319" s="2">
        <f t="shared" si="40"/>
        <v>1.0818546078992559</v>
      </c>
      <c r="G319" s="2">
        <v>18.535317128524181</v>
      </c>
      <c r="H319" s="2">
        <f t="shared" si="41"/>
        <v>0.95488182116037568</v>
      </c>
      <c r="I319">
        <v>7</v>
      </c>
      <c r="J319" s="2">
        <f t="shared" si="42"/>
        <v>0.36061820263308531</v>
      </c>
      <c r="K319" s="2">
        <v>8.8014931157231331</v>
      </c>
      <c r="L319" s="2">
        <f t="shared" si="43"/>
        <v>0.45342551826850713</v>
      </c>
      <c r="M319">
        <v>97</v>
      </c>
      <c r="N319" s="2">
        <f t="shared" si="44"/>
        <v>4.9971379507727534</v>
      </c>
      <c r="O319">
        <v>61</v>
      </c>
      <c r="P319" s="2">
        <f t="shared" si="45"/>
        <v>3.1425300515168861</v>
      </c>
      <c r="Q319" t="s">
        <v>222</v>
      </c>
      <c r="R319" t="s">
        <v>132</v>
      </c>
      <c r="S319">
        <v>20</v>
      </c>
      <c r="T319" s="2">
        <f t="shared" si="46"/>
        <v>1.030337721808815</v>
      </c>
      <c r="U319" s="2">
        <v>17.775221949443221</v>
      </c>
      <c r="V319" s="2">
        <f t="shared" si="47"/>
        <v>0.91572408440176867</v>
      </c>
      <c r="W319" s="2">
        <v>32.066798940300941</v>
      </c>
      <c r="X319" s="2">
        <f t="shared" si="48"/>
        <v>1.6519816282925499</v>
      </c>
      <c r="Y319" s="2">
        <v>9.6132100801914913</v>
      </c>
      <c r="Z319" s="2">
        <f t="shared" si="49"/>
        <v>0.49524264866470191</v>
      </c>
      <c r="AA319">
        <v>2024</v>
      </c>
      <c r="AB319">
        <v>1</v>
      </c>
      <c r="AC319">
        <v>90000000</v>
      </c>
    </row>
    <row r="320" spans="1:29" x14ac:dyDescent="0.2">
      <c r="A320">
        <v>3277</v>
      </c>
      <c r="B320" t="s">
        <v>140</v>
      </c>
      <c r="C320">
        <v>34</v>
      </c>
      <c r="D320">
        <v>2969</v>
      </c>
      <c r="E320">
        <v>21</v>
      </c>
      <c r="F320" s="2">
        <f t="shared" si="40"/>
        <v>0.63657797238127312</v>
      </c>
      <c r="G320" s="2">
        <v>21.03517147526145</v>
      </c>
      <c r="H320" s="2">
        <f t="shared" si="41"/>
        <v>0.63764413363877748</v>
      </c>
      <c r="I320">
        <v>3</v>
      </c>
      <c r="J320" s="2">
        <f t="shared" si="42"/>
        <v>9.0939710340181876E-2</v>
      </c>
      <c r="K320" s="2">
        <v>4.3879989935085177</v>
      </c>
      <c r="L320" s="2">
        <f t="shared" si="43"/>
        <v>0.13301445248089142</v>
      </c>
      <c r="M320">
        <v>95</v>
      </c>
      <c r="N320" s="2">
        <f t="shared" si="44"/>
        <v>2.8797574941057595</v>
      </c>
      <c r="O320">
        <v>44</v>
      </c>
      <c r="P320" s="2">
        <f t="shared" si="45"/>
        <v>1.3337824183226676</v>
      </c>
      <c r="Q320" t="s">
        <v>222</v>
      </c>
      <c r="R320" t="s">
        <v>82</v>
      </c>
      <c r="S320">
        <v>19</v>
      </c>
      <c r="T320" s="2">
        <f t="shared" si="46"/>
        <v>0.57595149882115193</v>
      </c>
      <c r="U320" s="2">
        <v>18.754890482872721</v>
      </c>
      <c r="V320" s="2">
        <f t="shared" si="47"/>
        <v>0.56852143599142635</v>
      </c>
      <c r="W320" s="2">
        <v>25.341843897476789</v>
      </c>
      <c r="X320" s="2">
        <f t="shared" si="48"/>
        <v>0.76819331450754824</v>
      </c>
      <c r="Y320" s="2">
        <v>8.5287354104220867</v>
      </c>
      <c r="Z320" s="2">
        <f t="shared" si="49"/>
        <v>0.25853357593061227</v>
      </c>
      <c r="AA320">
        <v>2015</v>
      </c>
      <c r="AB320">
        <v>0</v>
      </c>
      <c r="AC320">
        <v>30000000</v>
      </c>
    </row>
    <row r="321" spans="1:29" x14ac:dyDescent="0.2">
      <c r="A321">
        <v>3277</v>
      </c>
      <c r="B321" t="s">
        <v>140</v>
      </c>
      <c r="C321">
        <v>30</v>
      </c>
      <c r="D321">
        <v>2416</v>
      </c>
      <c r="E321">
        <v>28</v>
      </c>
      <c r="F321" s="2">
        <f t="shared" si="40"/>
        <v>1.0430463576158941</v>
      </c>
      <c r="G321" s="2">
        <v>22.474019102752209</v>
      </c>
      <c r="H321" s="2">
        <f t="shared" si="41"/>
        <v>0.83719442021841839</v>
      </c>
      <c r="I321">
        <v>3</v>
      </c>
      <c r="J321" s="2">
        <f t="shared" si="42"/>
        <v>0.11175496688741722</v>
      </c>
      <c r="K321" s="2">
        <v>6.6583008728921413</v>
      </c>
      <c r="L321" s="2">
        <f t="shared" si="43"/>
        <v>0.24803273119217414</v>
      </c>
      <c r="M321">
        <v>85</v>
      </c>
      <c r="N321" s="2">
        <f t="shared" si="44"/>
        <v>3.1663907284768209</v>
      </c>
      <c r="O321">
        <v>50</v>
      </c>
      <c r="P321" s="2">
        <f t="shared" si="45"/>
        <v>1.8625827814569538</v>
      </c>
      <c r="Q321" t="s">
        <v>222</v>
      </c>
      <c r="R321" t="s">
        <v>82</v>
      </c>
      <c r="S321">
        <v>18</v>
      </c>
      <c r="T321" s="2">
        <f t="shared" si="46"/>
        <v>0.67052980132450335</v>
      </c>
      <c r="U321" s="2">
        <v>13.352955881506199</v>
      </c>
      <c r="V321" s="2">
        <f t="shared" si="47"/>
        <v>0.49741971412895608</v>
      </c>
      <c r="W321" s="2">
        <v>23.215866085141901</v>
      </c>
      <c r="X321" s="2">
        <f t="shared" si="48"/>
        <v>0.86482944853591515</v>
      </c>
      <c r="Y321" s="2">
        <v>7.6290511712431908</v>
      </c>
      <c r="Z321" s="2">
        <f t="shared" si="49"/>
        <v>0.28419478700823148</v>
      </c>
      <c r="AA321">
        <v>2016</v>
      </c>
      <c r="AB321">
        <v>0</v>
      </c>
      <c r="AC321">
        <v>40000000</v>
      </c>
    </row>
    <row r="322" spans="1:29" x14ac:dyDescent="0.2">
      <c r="A322">
        <v>3277</v>
      </c>
      <c r="B322" t="s">
        <v>140</v>
      </c>
      <c r="C322">
        <v>32</v>
      </c>
      <c r="D322">
        <v>2235</v>
      </c>
      <c r="E322">
        <v>14</v>
      </c>
      <c r="F322" s="2">
        <f t="shared" si="40"/>
        <v>0.56375838926174504</v>
      </c>
      <c r="G322" s="2">
        <v>13.831237014383079</v>
      </c>
      <c r="H322" s="2">
        <f t="shared" si="41"/>
        <v>0.55696256433757363</v>
      </c>
      <c r="I322">
        <v>4</v>
      </c>
      <c r="J322" s="2">
        <f t="shared" si="42"/>
        <v>0.16107382550335572</v>
      </c>
      <c r="K322" s="2">
        <v>4.8395553315058351</v>
      </c>
      <c r="L322" s="2">
        <f t="shared" si="43"/>
        <v>0.19488142274520143</v>
      </c>
      <c r="M322">
        <v>67</v>
      </c>
      <c r="N322" s="2">
        <f t="shared" si="44"/>
        <v>2.6979865771812079</v>
      </c>
      <c r="O322">
        <v>36</v>
      </c>
      <c r="P322" s="2">
        <f t="shared" si="45"/>
        <v>1.4496644295302015</v>
      </c>
      <c r="Q322" t="s">
        <v>222</v>
      </c>
      <c r="R322" t="s">
        <v>28</v>
      </c>
      <c r="S322">
        <v>12</v>
      </c>
      <c r="T322" s="2">
        <f t="shared" si="46"/>
        <v>0.48322147651006708</v>
      </c>
      <c r="U322" s="2">
        <v>12.308898691087959</v>
      </c>
      <c r="V322" s="2">
        <f t="shared" si="47"/>
        <v>0.49566034997669633</v>
      </c>
      <c r="W322" s="2">
        <v>20.898562707006931</v>
      </c>
      <c r="X322" s="2">
        <f t="shared" si="48"/>
        <v>0.84155286068484281</v>
      </c>
      <c r="Y322" s="2">
        <v>6.2286298926919699</v>
      </c>
      <c r="Z322" s="2">
        <f t="shared" si="49"/>
        <v>0.25081731111511291</v>
      </c>
      <c r="AA322">
        <v>2017</v>
      </c>
      <c r="AB322">
        <v>1</v>
      </c>
      <c r="AC322">
        <v>60000000</v>
      </c>
    </row>
    <row r="323" spans="1:29" x14ac:dyDescent="0.2">
      <c r="A323">
        <v>3277</v>
      </c>
      <c r="B323" t="s">
        <v>140</v>
      </c>
      <c r="C323">
        <v>35</v>
      </c>
      <c r="D323">
        <v>2498</v>
      </c>
      <c r="E323">
        <v>13</v>
      </c>
      <c r="F323" s="2">
        <f t="shared" ref="F323:F386" si="50">E323/D323*90</f>
        <v>0.46837469975980783</v>
      </c>
      <c r="G323" s="2">
        <v>12.033688011579221</v>
      </c>
      <c r="H323" s="2">
        <f t="shared" ref="H323:H386" si="51">G323/D323*90</f>
        <v>0.43355961610973981</v>
      </c>
      <c r="I323">
        <v>8</v>
      </c>
      <c r="J323" s="2">
        <f t="shared" ref="J323:J386" si="52">I323/D323*90</f>
        <v>0.28823058446757405</v>
      </c>
      <c r="K323" s="2">
        <v>4.1001508189365268</v>
      </c>
      <c r="L323" s="2">
        <f t="shared" ref="L323:L386" si="53">K323/D323*90</f>
        <v>0.1477236083684097</v>
      </c>
      <c r="M323">
        <v>81</v>
      </c>
      <c r="N323" s="2">
        <f t="shared" ref="N323:N386" si="54">M323/D323*90</f>
        <v>2.9183346677341868</v>
      </c>
      <c r="O323">
        <v>31</v>
      </c>
      <c r="P323" s="2">
        <f t="shared" ref="P323:P386" si="55">O323/D323*90</f>
        <v>1.1168935148118495</v>
      </c>
      <c r="Q323" t="s">
        <v>222</v>
      </c>
      <c r="R323" t="s">
        <v>28</v>
      </c>
      <c r="S323">
        <v>13</v>
      </c>
      <c r="T323" s="2">
        <f t="shared" ref="T323:T386" si="56">S323/D323*90</f>
        <v>0.46837469975980783</v>
      </c>
      <c r="U323" s="2">
        <v>12.033688011579221</v>
      </c>
      <c r="V323" s="2">
        <f t="shared" ref="V323:V386" si="57">U323/D323*90</f>
        <v>0.43355961610973981</v>
      </c>
      <c r="W323" s="2">
        <v>22.075848444364961</v>
      </c>
      <c r="X323" s="2">
        <f t="shared" ref="X323:X386" si="58">W323/D323*90</f>
        <v>0.79536683746711223</v>
      </c>
      <c r="Y323" s="2">
        <v>8.8137978902086616</v>
      </c>
      <c r="Z323" s="2">
        <f t="shared" ref="Z323:Z386" si="59">Y323/D323*90</f>
        <v>0.3175507646592392</v>
      </c>
      <c r="AA323">
        <v>2018</v>
      </c>
      <c r="AB323">
        <v>1</v>
      </c>
      <c r="AC323">
        <v>70000000</v>
      </c>
    </row>
    <row r="324" spans="1:29" x14ac:dyDescent="0.2">
      <c r="A324">
        <v>3297</v>
      </c>
      <c r="B324" t="s">
        <v>141</v>
      </c>
      <c r="C324">
        <v>32</v>
      </c>
      <c r="D324">
        <v>2865</v>
      </c>
      <c r="E324">
        <v>5</v>
      </c>
      <c r="F324" s="2">
        <f t="shared" si="50"/>
        <v>0.15706806282722513</v>
      </c>
      <c r="G324" s="2">
        <v>3.963247779756784</v>
      </c>
      <c r="H324" s="2">
        <f t="shared" si="51"/>
        <v>0.1244999302541398</v>
      </c>
      <c r="I324">
        <v>0</v>
      </c>
      <c r="J324" s="2">
        <f t="shared" si="52"/>
        <v>0</v>
      </c>
      <c r="K324" s="2">
        <v>0.56501349247992039</v>
      </c>
      <c r="L324" s="2">
        <f t="shared" si="53"/>
        <v>1.7749114947013204E-2</v>
      </c>
      <c r="M324">
        <v>21</v>
      </c>
      <c r="N324" s="2">
        <f t="shared" si="54"/>
        <v>0.65968586387434558</v>
      </c>
      <c r="O324">
        <v>7</v>
      </c>
      <c r="P324" s="2">
        <f t="shared" si="55"/>
        <v>0.21989528795811519</v>
      </c>
      <c r="Q324" t="s">
        <v>224</v>
      </c>
      <c r="R324" t="s">
        <v>132</v>
      </c>
      <c r="S324">
        <v>5</v>
      </c>
      <c r="T324" s="2">
        <f t="shared" si="56"/>
        <v>0.15706806282722513</v>
      </c>
      <c r="U324" s="2">
        <v>3.963247779756784</v>
      </c>
      <c r="V324" s="2">
        <f t="shared" si="57"/>
        <v>0.1244999302541398</v>
      </c>
      <c r="W324" s="2">
        <v>17.57777131721377</v>
      </c>
      <c r="X324" s="2">
        <f t="shared" si="58"/>
        <v>0.55218129792294568</v>
      </c>
      <c r="Y324" s="2">
        <v>15.30349003523588</v>
      </c>
      <c r="Z324" s="2">
        <f t="shared" si="59"/>
        <v>0.48073790686604856</v>
      </c>
      <c r="AA324">
        <v>2021</v>
      </c>
      <c r="AB324">
        <v>0</v>
      </c>
      <c r="AC324">
        <v>70000000</v>
      </c>
    </row>
    <row r="325" spans="1:29" x14ac:dyDescent="0.2">
      <c r="A325">
        <v>3297</v>
      </c>
      <c r="B325" t="s">
        <v>141</v>
      </c>
      <c r="C325">
        <v>33</v>
      </c>
      <c r="D325">
        <v>2722</v>
      </c>
      <c r="E325">
        <v>2</v>
      </c>
      <c r="F325" s="2">
        <f t="shared" si="50"/>
        <v>6.6127847171197643E-2</v>
      </c>
      <c r="G325" s="2">
        <v>2.1451055947691202</v>
      </c>
      <c r="H325" s="2">
        <f t="shared" si="51"/>
        <v>7.0925607468486709E-2</v>
      </c>
      <c r="I325">
        <v>0</v>
      </c>
      <c r="J325" s="2">
        <f t="shared" si="52"/>
        <v>0</v>
      </c>
      <c r="K325" s="2">
        <v>0.4643122386187315</v>
      </c>
      <c r="L325" s="2">
        <f t="shared" si="53"/>
        <v>1.5351984377548067E-2</v>
      </c>
      <c r="M325">
        <v>18</v>
      </c>
      <c r="N325" s="2">
        <f t="shared" si="54"/>
        <v>0.59515062454077883</v>
      </c>
      <c r="O325">
        <v>9</v>
      </c>
      <c r="P325" s="2">
        <f t="shared" si="55"/>
        <v>0.29757531227038941</v>
      </c>
      <c r="Q325" t="s">
        <v>224</v>
      </c>
      <c r="R325" t="s">
        <v>132</v>
      </c>
      <c r="S325">
        <v>2</v>
      </c>
      <c r="T325" s="2">
        <f t="shared" si="56"/>
        <v>6.6127847171197643E-2</v>
      </c>
      <c r="U325" s="2">
        <v>2.1451055947691202</v>
      </c>
      <c r="V325" s="2">
        <f t="shared" si="57"/>
        <v>7.0925607468486709E-2</v>
      </c>
      <c r="W325" s="2">
        <v>14.257670719176531</v>
      </c>
      <c r="X325" s="2">
        <f t="shared" si="58"/>
        <v>0.47141453516748266</v>
      </c>
      <c r="Y325" s="2">
        <v>13.59138314984739</v>
      </c>
      <c r="Z325" s="2">
        <f t="shared" si="59"/>
        <v>0.44938445388914955</v>
      </c>
      <c r="AA325">
        <v>2022</v>
      </c>
      <c r="AB325">
        <v>0</v>
      </c>
      <c r="AC325">
        <v>65000000</v>
      </c>
    </row>
    <row r="326" spans="1:29" x14ac:dyDescent="0.2">
      <c r="A326">
        <v>3297</v>
      </c>
      <c r="B326" t="s">
        <v>141</v>
      </c>
      <c r="C326">
        <v>21</v>
      </c>
      <c r="D326">
        <v>1549</v>
      </c>
      <c r="E326">
        <v>0</v>
      </c>
      <c r="F326" s="2">
        <f t="shared" si="50"/>
        <v>0</v>
      </c>
      <c r="G326" s="2">
        <v>0.27763368748128409</v>
      </c>
      <c r="H326" s="2">
        <f t="shared" si="51"/>
        <v>1.6131072868505854E-2</v>
      </c>
      <c r="I326">
        <v>1</v>
      </c>
      <c r="J326" s="2">
        <f t="shared" si="52"/>
        <v>5.8102001291155579E-2</v>
      </c>
      <c r="K326" s="2">
        <v>0.72214894182980061</v>
      </c>
      <c r="L326" s="2">
        <f t="shared" si="53"/>
        <v>4.1958298750601711E-2</v>
      </c>
      <c r="M326">
        <v>4</v>
      </c>
      <c r="N326" s="2">
        <f t="shared" si="54"/>
        <v>0.23240800516462232</v>
      </c>
      <c r="O326">
        <v>9</v>
      </c>
      <c r="P326" s="2">
        <f t="shared" si="55"/>
        <v>0.52291801162040019</v>
      </c>
      <c r="Q326" t="s">
        <v>224</v>
      </c>
      <c r="R326" t="s">
        <v>132</v>
      </c>
      <c r="S326">
        <v>0</v>
      </c>
      <c r="T326" s="2">
        <f t="shared" si="56"/>
        <v>0</v>
      </c>
      <c r="U326" s="2">
        <v>0.27763368748128409</v>
      </c>
      <c r="V326" s="2">
        <f t="shared" si="57"/>
        <v>1.6131072868505854E-2</v>
      </c>
      <c r="W326" s="2">
        <v>10.214081335812811</v>
      </c>
      <c r="X326" s="2">
        <f t="shared" si="58"/>
        <v>0.59345856696136401</v>
      </c>
      <c r="Y326" s="2">
        <v>9.7129227407276648</v>
      </c>
      <c r="Z326" s="2">
        <f t="shared" si="59"/>
        <v>0.56434024962265317</v>
      </c>
      <c r="AA326">
        <v>2023</v>
      </c>
      <c r="AB326">
        <v>1</v>
      </c>
      <c r="AC326">
        <v>50000000</v>
      </c>
    </row>
    <row r="327" spans="1:29" x14ac:dyDescent="0.2">
      <c r="A327">
        <v>3297</v>
      </c>
      <c r="B327" t="s">
        <v>141</v>
      </c>
      <c r="C327">
        <v>22</v>
      </c>
      <c r="D327">
        <v>1718</v>
      </c>
      <c r="E327">
        <v>2</v>
      </c>
      <c r="F327" s="2">
        <f t="shared" si="50"/>
        <v>0.10477299185098952</v>
      </c>
      <c r="G327" s="2">
        <v>1.483817148953676</v>
      </c>
      <c r="H327" s="2">
        <f t="shared" si="51"/>
        <v>7.7731981027840999E-2</v>
      </c>
      <c r="I327">
        <v>0</v>
      </c>
      <c r="J327" s="2">
        <f t="shared" si="52"/>
        <v>0</v>
      </c>
      <c r="K327" s="2">
        <v>0.95868639089167118</v>
      </c>
      <c r="L327" s="2">
        <f t="shared" si="53"/>
        <v>5.0222220710273803E-2</v>
      </c>
      <c r="M327">
        <v>8</v>
      </c>
      <c r="N327" s="2">
        <f t="shared" si="54"/>
        <v>0.4190919674039581</v>
      </c>
      <c r="O327">
        <v>9</v>
      </c>
      <c r="P327" s="2">
        <f t="shared" si="55"/>
        <v>0.47147846332945287</v>
      </c>
      <c r="Q327" t="s">
        <v>224</v>
      </c>
      <c r="R327" t="s">
        <v>132</v>
      </c>
      <c r="S327">
        <v>2</v>
      </c>
      <c r="T327" s="2">
        <f t="shared" si="56"/>
        <v>0.10477299185098952</v>
      </c>
      <c r="U327" s="2">
        <v>1.483817148953676</v>
      </c>
      <c r="V327" s="2">
        <f t="shared" si="57"/>
        <v>7.7731981027840999E-2</v>
      </c>
      <c r="W327" s="2">
        <v>14.34937416017056</v>
      </c>
      <c r="X327" s="2">
        <f t="shared" si="58"/>
        <v>0.75171343097517485</v>
      </c>
      <c r="Y327" s="2">
        <v>13.869366928935049</v>
      </c>
      <c r="Z327" s="2">
        <f t="shared" si="59"/>
        <v>0.72656753411184771</v>
      </c>
      <c r="AA327">
        <v>2024</v>
      </c>
      <c r="AB327">
        <v>1</v>
      </c>
      <c r="AC327">
        <v>35000000</v>
      </c>
    </row>
    <row r="328" spans="1:29" x14ac:dyDescent="0.2">
      <c r="A328">
        <v>3357</v>
      </c>
      <c r="B328" t="s">
        <v>142</v>
      </c>
      <c r="C328">
        <v>37</v>
      </c>
      <c r="D328">
        <v>3274</v>
      </c>
      <c r="E328">
        <v>4</v>
      </c>
      <c r="F328" s="2">
        <f t="shared" si="50"/>
        <v>0.10995723885155773</v>
      </c>
      <c r="G328" s="2">
        <v>2.6556718898937111</v>
      </c>
      <c r="H328" s="2">
        <f t="shared" si="51"/>
        <v>7.3002587077102624E-2</v>
      </c>
      <c r="I328">
        <v>3</v>
      </c>
      <c r="J328" s="2">
        <f t="shared" si="52"/>
        <v>8.2467929138668294E-2</v>
      </c>
      <c r="K328" s="2">
        <v>3.7220262140035629</v>
      </c>
      <c r="L328" s="2">
        <f t="shared" si="53"/>
        <v>0.10231593135623722</v>
      </c>
      <c r="M328">
        <v>41</v>
      </c>
      <c r="N328" s="2">
        <f t="shared" si="54"/>
        <v>1.1270616982284667</v>
      </c>
      <c r="O328">
        <v>38</v>
      </c>
      <c r="P328" s="2">
        <f t="shared" si="55"/>
        <v>1.0445937690897984</v>
      </c>
      <c r="Q328" t="s">
        <v>224</v>
      </c>
      <c r="R328" t="s">
        <v>143</v>
      </c>
      <c r="S328">
        <v>4</v>
      </c>
      <c r="T328" s="2">
        <f t="shared" si="56"/>
        <v>0.10995723885155773</v>
      </c>
      <c r="U328" s="2">
        <v>2.6556718898937111</v>
      </c>
      <c r="V328" s="2">
        <f t="shared" si="57"/>
        <v>7.3002587077102624E-2</v>
      </c>
      <c r="W328" s="2">
        <v>11.96586198545992</v>
      </c>
      <c r="X328" s="2">
        <f t="shared" si="58"/>
        <v>0.32893328609999778</v>
      </c>
      <c r="Y328" s="2">
        <v>6.774760328233242</v>
      </c>
      <c r="Z328" s="2">
        <f t="shared" si="59"/>
        <v>0.18623348489340008</v>
      </c>
      <c r="AA328">
        <v>2015</v>
      </c>
      <c r="AB328">
        <v>0</v>
      </c>
      <c r="AC328">
        <v>10000000</v>
      </c>
    </row>
    <row r="329" spans="1:29" x14ac:dyDescent="0.2">
      <c r="A329">
        <v>3357</v>
      </c>
      <c r="B329" t="s">
        <v>142</v>
      </c>
      <c r="C329">
        <v>29</v>
      </c>
      <c r="D329">
        <v>2323</v>
      </c>
      <c r="E329">
        <v>2</v>
      </c>
      <c r="F329" s="2">
        <f t="shared" si="50"/>
        <v>7.7486009470512263E-2</v>
      </c>
      <c r="G329" s="2">
        <v>1.973441805690527</v>
      </c>
      <c r="H329" s="2">
        <f t="shared" si="51"/>
        <v>7.645706522262051E-2</v>
      </c>
      <c r="I329">
        <v>5</v>
      </c>
      <c r="J329" s="2">
        <f t="shared" si="52"/>
        <v>0.19371502367628068</v>
      </c>
      <c r="K329" s="2">
        <v>2.4630383066833019</v>
      </c>
      <c r="L329" s="2">
        <f t="shared" si="53"/>
        <v>9.5425504778948414E-2</v>
      </c>
      <c r="M329">
        <v>23</v>
      </c>
      <c r="N329" s="2">
        <f t="shared" si="54"/>
        <v>0.8910891089108911</v>
      </c>
      <c r="O329">
        <v>26</v>
      </c>
      <c r="P329" s="2">
        <f t="shared" si="55"/>
        <v>1.0073181231166595</v>
      </c>
      <c r="Q329" t="s">
        <v>224</v>
      </c>
      <c r="R329" t="s">
        <v>124</v>
      </c>
      <c r="S329">
        <v>2</v>
      </c>
      <c r="T329" s="2">
        <f t="shared" si="56"/>
        <v>7.7486009470512263E-2</v>
      </c>
      <c r="U329" s="2">
        <v>1.973441805690527</v>
      </c>
      <c r="V329" s="2">
        <f t="shared" si="57"/>
        <v>7.645706522262051E-2</v>
      </c>
      <c r="W329" s="2">
        <v>13.15641507320106</v>
      </c>
      <c r="X329" s="2">
        <f t="shared" si="58"/>
        <v>0.50971905148002383</v>
      </c>
      <c r="Y329" s="2">
        <v>10.30445175804198</v>
      </c>
      <c r="Z329" s="2">
        <f t="shared" si="59"/>
        <v>0.39922542325603882</v>
      </c>
      <c r="AA329">
        <v>2016</v>
      </c>
      <c r="AB329">
        <v>0</v>
      </c>
      <c r="AC329">
        <v>18000000</v>
      </c>
    </row>
    <row r="330" spans="1:29" x14ac:dyDescent="0.2">
      <c r="A330">
        <v>3357</v>
      </c>
      <c r="B330" t="s">
        <v>142</v>
      </c>
      <c r="C330">
        <v>27</v>
      </c>
      <c r="D330">
        <v>2158</v>
      </c>
      <c r="E330">
        <v>2</v>
      </c>
      <c r="F330" s="2">
        <f t="shared" si="50"/>
        <v>8.3410565338276177E-2</v>
      </c>
      <c r="G330" s="2">
        <v>0.92064256127923716</v>
      </c>
      <c r="H330" s="2">
        <f t="shared" si="51"/>
        <v>3.8395658255389875E-2</v>
      </c>
      <c r="I330">
        <v>7</v>
      </c>
      <c r="J330" s="2">
        <f t="shared" si="52"/>
        <v>0.29193697868396662</v>
      </c>
      <c r="K330" s="2">
        <v>4.1587407309561968</v>
      </c>
      <c r="L330" s="2">
        <f t="shared" si="53"/>
        <v>0.17344145773218614</v>
      </c>
      <c r="M330">
        <v>20</v>
      </c>
      <c r="N330" s="2">
        <f t="shared" si="54"/>
        <v>0.83410565338276177</v>
      </c>
      <c r="O330">
        <v>32</v>
      </c>
      <c r="P330" s="2">
        <f t="shared" si="55"/>
        <v>1.3345690454124188</v>
      </c>
      <c r="Q330" t="s">
        <v>224</v>
      </c>
      <c r="R330" t="s">
        <v>124</v>
      </c>
      <c r="S330">
        <v>2</v>
      </c>
      <c r="T330" s="2">
        <f t="shared" si="56"/>
        <v>8.3410565338276177E-2</v>
      </c>
      <c r="U330" s="2">
        <v>0.92064256127923716</v>
      </c>
      <c r="V330" s="2">
        <f t="shared" si="57"/>
        <v>3.8395658255389875E-2</v>
      </c>
      <c r="W330" s="2">
        <v>10.98413165658712</v>
      </c>
      <c r="X330" s="2">
        <f t="shared" si="58"/>
        <v>0.45809631561299385</v>
      </c>
      <c r="Y330" s="2">
        <v>8.9837425984442234</v>
      </c>
      <c r="Z330" s="2">
        <f t="shared" si="59"/>
        <v>0.37466952449489344</v>
      </c>
      <c r="AA330">
        <v>2017</v>
      </c>
      <c r="AB330">
        <v>1</v>
      </c>
      <c r="AC330">
        <v>23000000</v>
      </c>
    </row>
    <row r="331" spans="1:29" x14ac:dyDescent="0.2">
      <c r="A331">
        <v>3357</v>
      </c>
      <c r="B331" t="s">
        <v>142</v>
      </c>
      <c r="C331">
        <v>26</v>
      </c>
      <c r="D331">
        <v>2064</v>
      </c>
      <c r="E331">
        <v>0</v>
      </c>
      <c r="F331" s="2">
        <f t="shared" si="50"/>
        <v>0</v>
      </c>
      <c r="G331" s="2">
        <v>0.96563108451664437</v>
      </c>
      <c r="H331" s="2">
        <f t="shared" si="51"/>
        <v>4.210600659229554E-2</v>
      </c>
      <c r="I331">
        <v>2</v>
      </c>
      <c r="J331" s="2">
        <f t="shared" si="52"/>
        <v>8.7209302325581398E-2</v>
      </c>
      <c r="K331" s="2">
        <v>3.4944975217804308</v>
      </c>
      <c r="L331" s="2">
        <f t="shared" si="53"/>
        <v>0.15237634542647227</v>
      </c>
      <c r="M331">
        <v>18</v>
      </c>
      <c r="N331" s="2">
        <f t="shared" si="54"/>
        <v>0.78488372093023251</v>
      </c>
      <c r="O331">
        <v>31</v>
      </c>
      <c r="P331" s="2">
        <f t="shared" si="55"/>
        <v>1.3517441860465116</v>
      </c>
      <c r="Q331" t="s">
        <v>224</v>
      </c>
      <c r="R331" t="s">
        <v>124</v>
      </c>
      <c r="S331">
        <v>0</v>
      </c>
      <c r="T331" s="2">
        <f t="shared" si="56"/>
        <v>0</v>
      </c>
      <c r="U331" s="2">
        <v>0.96563108451664437</v>
      </c>
      <c r="V331" s="2">
        <f t="shared" si="57"/>
        <v>4.210600659229554E-2</v>
      </c>
      <c r="W331" s="2">
        <v>6.4268548730760813</v>
      </c>
      <c r="X331" s="2">
        <f t="shared" si="58"/>
        <v>0.280240764814364</v>
      </c>
      <c r="Y331" s="2">
        <v>4.1398189198225737</v>
      </c>
      <c r="Z331" s="2">
        <f t="shared" si="59"/>
        <v>0.18051535987598433</v>
      </c>
      <c r="AA331">
        <v>2018</v>
      </c>
      <c r="AB331">
        <v>1</v>
      </c>
      <c r="AC331">
        <v>15000000</v>
      </c>
    </row>
    <row r="332" spans="1:29" x14ac:dyDescent="0.2">
      <c r="A332">
        <v>3388</v>
      </c>
      <c r="B332" t="s">
        <v>144</v>
      </c>
      <c r="C332">
        <v>14</v>
      </c>
      <c r="D332">
        <v>1260</v>
      </c>
      <c r="E332">
        <v>1</v>
      </c>
      <c r="F332" s="2">
        <f t="shared" si="50"/>
        <v>7.1428571428571425E-2</v>
      </c>
      <c r="G332" s="2">
        <v>0.52474680170416832</v>
      </c>
      <c r="H332" s="2">
        <f t="shared" si="51"/>
        <v>3.7481914407440593E-2</v>
      </c>
      <c r="I332">
        <v>0</v>
      </c>
      <c r="J332" s="2">
        <f t="shared" si="52"/>
        <v>0</v>
      </c>
      <c r="K332" s="2">
        <v>0.65411251783370972</v>
      </c>
      <c r="L332" s="2">
        <f t="shared" si="53"/>
        <v>4.672232270240783E-2</v>
      </c>
      <c r="M332">
        <v>5</v>
      </c>
      <c r="N332" s="2">
        <f t="shared" si="54"/>
        <v>0.3571428571428571</v>
      </c>
      <c r="O332">
        <v>3</v>
      </c>
      <c r="P332" s="2">
        <f t="shared" si="55"/>
        <v>0.2142857142857143</v>
      </c>
      <c r="Q332" t="s">
        <v>224</v>
      </c>
      <c r="R332" t="s">
        <v>145</v>
      </c>
      <c r="S332">
        <v>1</v>
      </c>
      <c r="T332" s="2">
        <f t="shared" si="56"/>
        <v>7.1428571428571425E-2</v>
      </c>
      <c r="U332" s="2">
        <v>0.52474680170416832</v>
      </c>
      <c r="V332" s="2">
        <f t="shared" si="57"/>
        <v>3.7481914407440593E-2</v>
      </c>
      <c r="W332" s="2">
        <v>1.9261337947100401</v>
      </c>
      <c r="X332" s="2">
        <f t="shared" si="58"/>
        <v>0.13758098533643143</v>
      </c>
      <c r="Y332" s="2">
        <v>1.528834795579314</v>
      </c>
      <c r="Z332" s="2">
        <f t="shared" si="59"/>
        <v>0.10920248539852243</v>
      </c>
      <c r="AA332">
        <v>2019</v>
      </c>
      <c r="AB332">
        <v>0</v>
      </c>
      <c r="AC332">
        <v>9500000</v>
      </c>
    </row>
    <row r="333" spans="1:29" x14ac:dyDescent="0.2">
      <c r="A333">
        <v>3388</v>
      </c>
      <c r="B333" t="s">
        <v>144</v>
      </c>
      <c r="C333">
        <v>11</v>
      </c>
      <c r="D333">
        <v>648</v>
      </c>
      <c r="E333">
        <v>0</v>
      </c>
      <c r="F333" s="2">
        <f t="shared" si="50"/>
        <v>0</v>
      </c>
      <c r="G333" s="2">
        <v>8.7819099426269531E-2</v>
      </c>
      <c r="H333" s="2">
        <f t="shared" si="51"/>
        <v>1.2197097142537435E-2</v>
      </c>
      <c r="I333">
        <v>0</v>
      </c>
      <c r="J333" s="2">
        <f t="shared" si="52"/>
        <v>0</v>
      </c>
      <c r="K333" s="2">
        <v>0.1345964036881924</v>
      </c>
      <c r="L333" s="2">
        <f t="shared" si="53"/>
        <v>1.8693944956693388E-2</v>
      </c>
      <c r="M333">
        <v>2</v>
      </c>
      <c r="N333" s="2">
        <f t="shared" si="54"/>
        <v>0.27777777777777779</v>
      </c>
      <c r="O333">
        <v>3</v>
      </c>
      <c r="P333" s="2">
        <f t="shared" si="55"/>
        <v>0.41666666666666663</v>
      </c>
      <c r="Q333" t="s">
        <v>224</v>
      </c>
      <c r="R333" t="s">
        <v>74</v>
      </c>
      <c r="S333">
        <v>0</v>
      </c>
      <c r="T333" s="2">
        <f t="shared" si="56"/>
        <v>0</v>
      </c>
      <c r="U333" s="2">
        <v>8.7819099426269531E-2</v>
      </c>
      <c r="V333" s="2">
        <f t="shared" si="57"/>
        <v>1.2197097142537435E-2</v>
      </c>
      <c r="W333" s="2">
        <v>2.165980901569128</v>
      </c>
      <c r="X333" s="2">
        <f t="shared" si="58"/>
        <v>0.30083068077349001</v>
      </c>
      <c r="Y333" s="2">
        <v>2.1523778699338441</v>
      </c>
      <c r="Z333" s="2">
        <f t="shared" si="59"/>
        <v>0.29894137082414501</v>
      </c>
      <c r="AA333">
        <v>2020</v>
      </c>
      <c r="AB333">
        <v>0</v>
      </c>
      <c r="AC333">
        <v>3000000</v>
      </c>
    </row>
    <row r="334" spans="1:29" x14ac:dyDescent="0.2">
      <c r="A334">
        <v>3388</v>
      </c>
      <c r="B334" t="s">
        <v>144</v>
      </c>
      <c r="C334">
        <v>18</v>
      </c>
      <c r="D334">
        <v>1083</v>
      </c>
      <c r="E334">
        <v>0</v>
      </c>
      <c r="F334" s="2">
        <f t="shared" si="50"/>
        <v>0</v>
      </c>
      <c r="G334" s="2">
        <v>0.292313102632761</v>
      </c>
      <c r="H334" s="2">
        <f t="shared" si="51"/>
        <v>2.4291947587210056E-2</v>
      </c>
      <c r="I334">
        <v>2</v>
      </c>
      <c r="J334" s="2">
        <f t="shared" si="52"/>
        <v>0.16620498614958448</v>
      </c>
      <c r="K334" s="2">
        <v>0.28892220184206963</v>
      </c>
      <c r="L334" s="2">
        <f t="shared" si="53"/>
        <v>2.401015527773432E-2</v>
      </c>
      <c r="M334">
        <v>5</v>
      </c>
      <c r="N334" s="2">
        <f t="shared" si="54"/>
        <v>0.41551246537396125</v>
      </c>
      <c r="O334">
        <v>5</v>
      </c>
      <c r="P334" s="2">
        <f t="shared" si="55"/>
        <v>0.41551246537396125</v>
      </c>
      <c r="Q334" t="s">
        <v>224</v>
      </c>
      <c r="R334" t="s">
        <v>74</v>
      </c>
      <c r="S334">
        <v>0</v>
      </c>
      <c r="T334" s="2">
        <f t="shared" si="56"/>
        <v>0</v>
      </c>
      <c r="U334" s="2">
        <v>0.292313102632761</v>
      </c>
      <c r="V334" s="2">
        <f t="shared" si="57"/>
        <v>2.4291947587210056E-2</v>
      </c>
      <c r="W334" s="2">
        <v>3.181044207885861</v>
      </c>
      <c r="X334" s="2">
        <f t="shared" si="58"/>
        <v>0.26435270425644275</v>
      </c>
      <c r="Y334" s="2">
        <v>3.168701203539968</v>
      </c>
      <c r="Z334" s="2">
        <f t="shared" si="59"/>
        <v>0.26332696982326603</v>
      </c>
      <c r="AA334">
        <v>2021</v>
      </c>
      <c r="AB334">
        <v>1</v>
      </c>
      <c r="AC334">
        <v>5000000</v>
      </c>
    </row>
    <row r="335" spans="1:29" x14ac:dyDescent="0.2">
      <c r="A335">
        <v>3388</v>
      </c>
      <c r="B335" t="s">
        <v>144</v>
      </c>
      <c r="C335">
        <v>16</v>
      </c>
      <c r="D335">
        <v>1197</v>
      </c>
      <c r="E335">
        <v>1</v>
      </c>
      <c r="F335" s="2">
        <f t="shared" si="50"/>
        <v>7.5187969924812026E-2</v>
      </c>
      <c r="G335" s="2">
        <v>0.74414427019655704</v>
      </c>
      <c r="H335" s="2">
        <f t="shared" si="51"/>
        <v>5.5950697007259922E-2</v>
      </c>
      <c r="I335">
        <v>1</v>
      </c>
      <c r="J335" s="2">
        <f t="shared" si="52"/>
        <v>7.5187969924812026E-2</v>
      </c>
      <c r="K335" s="2">
        <v>0.13732572644948959</v>
      </c>
      <c r="L335" s="2">
        <f t="shared" si="53"/>
        <v>1.0325242590187187E-2</v>
      </c>
      <c r="M335">
        <v>8</v>
      </c>
      <c r="N335" s="2">
        <f t="shared" si="54"/>
        <v>0.60150375939849621</v>
      </c>
      <c r="O335">
        <v>4</v>
      </c>
      <c r="P335" s="2">
        <f t="shared" si="55"/>
        <v>0.3007518796992481</v>
      </c>
      <c r="Q335" t="s">
        <v>224</v>
      </c>
      <c r="R335" t="s">
        <v>74</v>
      </c>
      <c r="S335">
        <v>1</v>
      </c>
      <c r="T335" s="2">
        <f t="shared" si="56"/>
        <v>7.5187969924812026E-2</v>
      </c>
      <c r="U335" s="2">
        <v>0.74414427019655704</v>
      </c>
      <c r="V335" s="2">
        <f t="shared" si="57"/>
        <v>5.5950697007259922E-2</v>
      </c>
      <c r="W335" s="2">
        <v>4.2525789849460116</v>
      </c>
      <c r="X335" s="2">
        <f t="shared" si="58"/>
        <v>0.31974278082300839</v>
      </c>
      <c r="Y335" s="2">
        <v>3.5761319026350979</v>
      </c>
      <c r="Z335" s="2">
        <f t="shared" si="59"/>
        <v>0.26888209794248857</v>
      </c>
      <c r="AA335">
        <v>2022</v>
      </c>
      <c r="AB335">
        <v>1</v>
      </c>
      <c r="AC335">
        <v>4000000</v>
      </c>
    </row>
    <row r="336" spans="1:29" x14ac:dyDescent="0.2">
      <c r="A336">
        <v>3420</v>
      </c>
      <c r="B336" t="s">
        <v>146</v>
      </c>
      <c r="C336">
        <v>28</v>
      </c>
      <c r="D336">
        <v>2063</v>
      </c>
      <c r="E336">
        <v>2</v>
      </c>
      <c r="F336" s="2">
        <f t="shared" si="50"/>
        <v>8.725157537566651E-2</v>
      </c>
      <c r="G336" s="2">
        <v>0.30810149945318699</v>
      </c>
      <c r="H336" s="2">
        <f t="shared" si="51"/>
        <v>1.3441170601447807E-2</v>
      </c>
      <c r="I336">
        <v>3</v>
      </c>
      <c r="J336" s="2">
        <f t="shared" si="52"/>
        <v>0.13087736306349976</v>
      </c>
      <c r="K336" s="2">
        <v>1.6751397987827661</v>
      </c>
      <c r="L336" s="2">
        <f t="shared" si="53"/>
        <v>7.307929320913667E-2</v>
      </c>
      <c r="M336">
        <v>12</v>
      </c>
      <c r="N336" s="2">
        <f t="shared" si="54"/>
        <v>0.52350945225399903</v>
      </c>
      <c r="O336">
        <v>19</v>
      </c>
      <c r="P336" s="2">
        <f t="shared" si="55"/>
        <v>0.82888996606883181</v>
      </c>
      <c r="Q336" t="s">
        <v>223</v>
      </c>
      <c r="R336" t="s">
        <v>31</v>
      </c>
      <c r="S336">
        <v>2</v>
      </c>
      <c r="T336" s="2">
        <f t="shared" si="56"/>
        <v>8.725157537566651E-2</v>
      </c>
      <c r="U336" s="2">
        <v>0.30810149945318699</v>
      </c>
      <c r="V336" s="2">
        <f t="shared" si="57"/>
        <v>1.3441170601447807E-2</v>
      </c>
      <c r="W336" s="2">
        <v>11.50258229672909</v>
      </c>
      <c r="X336" s="2">
        <f t="shared" si="58"/>
        <v>0.50180921313893267</v>
      </c>
      <c r="Y336" s="2">
        <v>10.2851132452488</v>
      </c>
      <c r="Z336" s="2">
        <f t="shared" si="59"/>
        <v>0.44869616678254576</v>
      </c>
      <c r="AA336">
        <v>2019</v>
      </c>
      <c r="AB336">
        <v>0</v>
      </c>
      <c r="AC336">
        <v>56000000</v>
      </c>
    </row>
    <row r="337" spans="1:29" x14ac:dyDescent="0.2">
      <c r="A337">
        <v>3420</v>
      </c>
      <c r="B337" t="s">
        <v>146</v>
      </c>
      <c r="C337">
        <v>30</v>
      </c>
      <c r="D337">
        <v>2563</v>
      </c>
      <c r="E337">
        <v>0</v>
      </c>
      <c r="F337" s="2">
        <f t="shared" si="50"/>
        <v>0</v>
      </c>
      <c r="G337" s="2">
        <v>0.36248929984867578</v>
      </c>
      <c r="H337" s="2">
        <f t="shared" si="51"/>
        <v>1.27288478292551E-2</v>
      </c>
      <c r="I337">
        <v>0</v>
      </c>
      <c r="J337" s="2">
        <f t="shared" si="52"/>
        <v>0</v>
      </c>
      <c r="K337" s="2">
        <v>0.29806160181760788</v>
      </c>
      <c r="L337" s="2">
        <f t="shared" si="53"/>
        <v>1.0466462802803242E-2</v>
      </c>
      <c r="M337">
        <v>10</v>
      </c>
      <c r="N337" s="2">
        <f t="shared" si="54"/>
        <v>0.35115099492781893</v>
      </c>
      <c r="O337">
        <v>4</v>
      </c>
      <c r="P337" s="2">
        <f t="shared" si="55"/>
        <v>0.14046039797112758</v>
      </c>
      <c r="Q337" t="s">
        <v>223</v>
      </c>
      <c r="R337" t="s">
        <v>31</v>
      </c>
      <c r="S337">
        <v>0</v>
      </c>
      <c r="T337" s="2">
        <f t="shared" si="56"/>
        <v>0</v>
      </c>
      <c r="U337" s="2">
        <v>0.36248929984867578</v>
      </c>
      <c r="V337" s="2">
        <f t="shared" si="57"/>
        <v>1.27288478292551E-2</v>
      </c>
      <c r="W337" s="2">
        <v>11.808018939569591</v>
      </c>
      <c r="X337" s="2">
        <f t="shared" si="58"/>
        <v>0.41463975987563917</v>
      </c>
      <c r="Y337" s="2">
        <v>11.555004851892591</v>
      </c>
      <c r="Z337" s="2">
        <f t="shared" si="59"/>
        <v>0.40575514501378585</v>
      </c>
      <c r="AA337">
        <v>2020</v>
      </c>
      <c r="AB337">
        <v>0</v>
      </c>
      <c r="AC337">
        <v>60000000</v>
      </c>
    </row>
    <row r="338" spans="1:29" x14ac:dyDescent="0.2">
      <c r="A338">
        <v>3420</v>
      </c>
      <c r="B338" t="s">
        <v>146</v>
      </c>
      <c r="C338">
        <v>29</v>
      </c>
      <c r="D338">
        <v>2320</v>
      </c>
      <c r="E338">
        <v>5</v>
      </c>
      <c r="F338" s="2">
        <f t="shared" si="50"/>
        <v>0.19396551724137931</v>
      </c>
      <c r="G338" s="2">
        <v>5.0335230613127351</v>
      </c>
      <c r="H338" s="2">
        <f t="shared" si="51"/>
        <v>0.19526598082678714</v>
      </c>
      <c r="I338">
        <v>1</v>
      </c>
      <c r="J338" s="2">
        <f t="shared" si="52"/>
        <v>3.8793103448275863E-2</v>
      </c>
      <c r="K338" s="2">
        <v>1.262206269428134</v>
      </c>
      <c r="L338" s="2">
        <f t="shared" si="53"/>
        <v>4.8964898382987961E-2</v>
      </c>
      <c r="M338">
        <v>21</v>
      </c>
      <c r="N338" s="2">
        <f t="shared" si="54"/>
        <v>0.81465517241379315</v>
      </c>
      <c r="O338">
        <v>17</v>
      </c>
      <c r="P338" s="2">
        <f t="shared" si="55"/>
        <v>0.65948275862068961</v>
      </c>
      <c r="Q338" t="s">
        <v>223</v>
      </c>
      <c r="R338" t="s">
        <v>31</v>
      </c>
      <c r="S338">
        <v>3</v>
      </c>
      <c r="T338" s="2">
        <f t="shared" si="56"/>
        <v>0.11637931034482758</v>
      </c>
      <c r="U338" s="2">
        <v>3.5111850658431649</v>
      </c>
      <c r="V338" s="2">
        <f t="shared" si="57"/>
        <v>0.1362097654852952</v>
      </c>
      <c r="W338" s="2">
        <v>10.56733473017812</v>
      </c>
      <c r="X338" s="2">
        <f t="shared" si="58"/>
        <v>0.40993970936035812</v>
      </c>
      <c r="Y338" s="2">
        <v>9.501623323187232</v>
      </c>
      <c r="Z338" s="2">
        <f t="shared" si="59"/>
        <v>0.36859745650295295</v>
      </c>
      <c r="AA338">
        <v>2021</v>
      </c>
      <c r="AB338">
        <v>1</v>
      </c>
      <c r="AC338">
        <v>60000000</v>
      </c>
    </row>
    <row r="339" spans="1:29" x14ac:dyDescent="0.2">
      <c r="A339">
        <v>3420</v>
      </c>
      <c r="B339" t="s">
        <v>146</v>
      </c>
      <c r="C339">
        <v>36</v>
      </c>
      <c r="D339">
        <v>2691</v>
      </c>
      <c r="E339">
        <v>0</v>
      </c>
      <c r="F339" s="2">
        <f t="shared" si="50"/>
        <v>0</v>
      </c>
      <c r="G339" s="2">
        <v>0.65330672729760408</v>
      </c>
      <c r="H339" s="2">
        <f t="shared" si="51"/>
        <v>2.1849723320990104E-2</v>
      </c>
      <c r="I339">
        <v>2</v>
      </c>
      <c r="J339" s="2">
        <f t="shared" si="52"/>
        <v>6.6889632107023408E-2</v>
      </c>
      <c r="K339" s="2">
        <v>2.6878671431913972</v>
      </c>
      <c r="L339" s="2">
        <f t="shared" si="53"/>
        <v>8.9895222180314288E-2</v>
      </c>
      <c r="M339">
        <v>18</v>
      </c>
      <c r="N339" s="2">
        <f t="shared" si="54"/>
        <v>0.60200668896321075</v>
      </c>
      <c r="O339">
        <v>17</v>
      </c>
      <c r="P339" s="2">
        <f t="shared" si="55"/>
        <v>0.56856187290969895</v>
      </c>
      <c r="Q339" t="s">
        <v>223</v>
      </c>
      <c r="R339" t="s">
        <v>31</v>
      </c>
      <c r="S339">
        <v>0</v>
      </c>
      <c r="T339" s="2">
        <f t="shared" si="56"/>
        <v>0</v>
      </c>
      <c r="U339" s="2">
        <v>0.65330672729760408</v>
      </c>
      <c r="V339" s="2">
        <f t="shared" si="57"/>
        <v>2.1849723320990104E-2</v>
      </c>
      <c r="W339" s="2">
        <v>15.34653141908348</v>
      </c>
      <c r="X339" s="2">
        <f t="shared" si="58"/>
        <v>0.51326192037068497</v>
      </c>
      <c r="Y339" s="2">
        <v>13.409233009442691</v>
      </c>
      <c r="Z339" s="2">
        <f t="shared" si="59"/>
        <v>0.44846933141948797</v>
      </c>
      <c r="AA339">
        <v>2022</v>
      </c>
      <c r="AB339">
        <v>1</v>
      </c>
      <c r="AC339">
        <v>42000000</v>
      </c>
    </row>
    <row r="340" spans="1:29" x14ac:dyDescent="0.2">
      <c r="A340">
        <v>3422</v>
      </c>
      <c r="B340" t="s">
        <v>147</v>
      </c>
      <c r="C340">
        <v>38</v>
      </c>
      <c r="D340">
        <v>3053</v>
      </c>
      <c r="E340">
        <v>1</v>
      </c>
      <c r="F340" s="2">
        <f t="shared" si="50"/>
        <v>2.947920078611202E-2</v>
      </c>
      <c r="G340" s="2">
        <v>0.50536629278212786</v>
      </c>
      <c r="H340" s="2">
        <f t="shared" si="51"/>
        <v>1.4897794415457423E-2</v>
      </c>
      <c r="I340">
        <v>8</v>
      </c>
      <c r="J340" s="2">
        <f t="shared" si="52"/>
        <v>0.23583360628889616</v>
      </c>
      <c r="K340" s="2">
        <v>6.5285573564469814</v>
      </c>
      <c r="L340" s="2">
        <f t="shared" si="53"/>
        <v>0.19245665315434926</v>
      </c>
      <c r="M340">
        <v>18</v>
      </c>
      <c r="N340" s="2">
        <f t="shared" si="54"/>
        <v>0.5306256141500163</v>
      </c>
      <c r="O340">
        <v>84</v>
      </c>
      <c r="P340" s="2">
        <f t="shared" si="55"/>
        <v>2.4762528660334095</v>
      </c>
      <c r="Q340" t="s">
        <v>223</v>
      </c>
      <c r="R340" t="s">
        <v>85</v>
      </c>
      <c r="S340">
        <v>1</v>
      </c>
      <c r="T340" s="2">
        <f t="shared" si="56"/>
        <v>2.947920078611202E-2</v>
      </c>
      <c r="U340" s="2">
        <v>0.50536629278212786</v>
      </c>
      <c r="V340" s="2">
        <f t="shared" si="57"/>
        <v>1.4897794415457423E-2</v>
      </c>
      <c r="W340" s="2">
        <v>9.5042721210047603</v>
      </c>
      <c r="X340" s="2">
        <f t="shared" si="58"/>
        <v>0.28017834618094606</v>
      </c>
      <c r="Y340" s="2">
        <v>7.7783678835257888</v>
      </c>
      <c r="Z340" s="2">
        <f t="shared" si="59"/>
        <v>0.22930006862670194</v>
      </c>
      <c r="AA340">
        <v>2018</v>
      </c>
      <c r="AB340">
        <v>0</v>
      </c>
      <c r="AC340">
        <v>10000000</v>
      </c>
    </row>
    <row r="341" spans="1:29" x14ac:dyDescent="0.2">
      <c r="A341">
        <v>3422</v>
      </c>
      <c r="B341" t="s">
        <v>147</v>
      </c>
      <c r="C341">
        <v>38</v>
      </c>
      <c r="D341">
        <v>3100</v>
      </c>
      <c r="E341">
        <v>1</v>
      </c>
      <c r="F341" s="2">
        <f t="shared" si="50"/>
        <v>2.903225806451613E-2</v>
      </c>
      <c r="G341" s="2">
        <v>0.68776729889214039</v>
      </c>
      <c r="H341" s="2">
        <f t="shared" si="51"/>
        <v>1.9967437709771819E-2</v>
      </c>
      <c r="I341">
        <v>6</v>
      </c>
      <c r="J341" s="2">
        <f t="shared" si="52"/>
        <v>0.17419354838709677</v>
      </c>
      <c r="K341" s="2">
        <v>6.7750419713556767</v>
      </c>
      <c r="L341" s="2">
        <f t="shared" si="53"/>
        <v>0.19669476691032611</v>
      </c>
      <c r="M341">
        <v>22</v>
      </c>
      <c r="N341" s="2">
        <f t="shared" si="54"/>
        <v>0.63870967741935492</v>
      </c>
      <c r="O341">
        <v>76</v>
      </c>
      <c r="P341" s="2">
        <f t="shared" si="55"/>
        <v>2.2064516129032259</v>
      </c>
      <c r="Q341" t="s">
        <v>223</v>
      </c>
      <c r="R341" t="s">
        <v>85</v>
      </c>
      <c r="S341">
        <v>1</v>
      </c>
      <c r="T341" s="2">
        <f t="shared" si="56"/>
        <v>2.903225806451613E-2</v>
      </c>
      <c r="U341" s="2">
        <v>0.68776729889214039</v>
      </c>
      <c r="V341" s="2">
        <f t="shared" si="57"/>
        <v>1.9967437709771819E-2</v>
      </c>
      <c r="W341" s="2">
        <v>11.932693131268019</v>
      </c>
      <c r="X341" s="2">
        <f t="shared" si="58"/>
        <v>0.34643302639165219</v>
      </c>
      <c r="Y341" s="2">
        <v>10.858657669276001</v>
      </c>
      <c r="Z341" s="2">
        <f t="shared" si="59"/>
        <v>0.31525135168865809</v>
      </c>
      <c r="AA341">
        <v>2019</v>
      </c>
      <c r="AB341">
        <v>0</v>
      </c>
      <c r="AC341">
        <v>8000000</v>
      </c>
    </row>
    <row r="342" spans="1:29" x14ac:dyDescent="0.2">
      <c r="A342">
        <v>3422</v>
      </c>
      <c r="B342" t="s">
        <v>147</v>
      </c>
      <c r="C342">
        <v>33</v>
      </c>
      <c r="D342">
        <v>2546</v>
      </c>
      <c r="E342">
        <v>1</v>
      </c>
      <c r="F342" s="2">
        <f t="shared" si="50"/>
        <v>3.5349567949725061E-2</v>
      </c>
      <c r="G342" s="2">
        <v>0.50277539901435375</v>
      </c>
      <c r="H342" s="2">
        <f t="shared" si="51"/>
        <v>1.7772893130908029E-2</v>
      </c>
      <c r="I342">
        <v>1</v>
      </c>
      <c r="J342" s="2">
        <f t="shared" si="52"/>
        <v>3.5349567949725061E-2</v>
      </c>
      <c r="K342" s="2">
        <v>1.676840309053659</v>
      </c>
      <c r="L342" s="2">
        <f t="shared" si="53"/>
        <v>5.9275580445730287E-2</v>
      </c>
      <c r="M342">
        <v>14</v>
      </c>
      <c r="N342" s="2">
        <f t="shared" si="54"/>
        <v>0.49489395129615082</v>
      </c>
      <c r="O342">
        <v>46</v>
      </c>
      <c r="P342" s="2">
        <f t="shared" si="55"/>
        <v>1.6260801256873527</v>
      </c>
      <c r="Q342" t="s">
        <v>223</v>
      </c>
      <c r="R342" t="s">
        <v>85</v>
      </c>
      <c r="S342">
        <v>1</v>
      </c>
      <c r="T342" s="2">
        <f t="shared" si="56"/>
        <v>3.5349567949725061E-2</v>
      </c>
      <c r="U342" s="2">
        <v>0.50277539901435375</v>
      </c>
      <c r="V342" s="2">
        <f t="shared" si="57"/>
        <v>1.7772893130908029E-2</v>
      </c>
      <c r="W342" s="2">
        <v>7.0284981597214937</v>
      </c>
      <c r="X342" s="2">
        <f t="shared" si="58"/>
        <v>0.24845437328159248</v>
      </c>
      <c r="Y342" s="2">
        <v>6.2302312003448614</v>
      </c>
      <c r="Z342" s="2">
        <f t="shared" si="59"/>
        <v>0.22023598115908782</v>
      </c>
      <c r="AA342">
        <v>2020</v>
      </c>
      <c r="AB342">
        <v>1</v>
      </c>
      <c r="AC342">
        <v>4000000</v>
      </c>
    </row>
    <row r="343" spans="1:29" x14ac:dyDescent="0.2">
      <c r="A343">
        <v>3422</v>
      </c>
      <c r="B343" t="s">
        <v>147</v>
      </c>
      <c r="C343">
        <v>35</v>
      </c>
      <c r="D343">
        <v>2987</v>
      </c>
      <c r="E343">
        <v>2</v>
      </c>
      <c r="F343" s="2">
        <f t="shared" si="50"/>
        <v>6.0261131570137266E-2</v>
      </c>
      <c r="G343" s="2">
        <v>1.1245428025722499</v>
      </c>
      <c r="H343" s="2">
        <f t="shared" si="51"/>
        <v>3.388311089102862E-2</v>
      </c>
      <c r="I343">
        <v>1</v>
      </c>
      <c r="J343" s="2">
        <f t="shared" si="52"/>
        <v>3.0130565785068633E-2</v>
      </c>
      <c r="K343" s="2">
        <v>2.7696392191573982</v>
      </c>
      <c r="L343" s="2">
        <f t="shared" si="53"/>
        <v>8.345079669372811E-2</v>
      </c>
      <c r="M343">
        <v>20</v>
      </c>
      <c r="N343" s="2">
        <f t="shared" si="54"/>
        <v>0.60261131570137261</v>
      </c>
      <c r="O343">
        <v>39</v>
      </c>
      <c r="P343" s="2">
        <f t="shared" si="55"/>
        <v>1.1750920656176767</v>
      </c>
      <c r="Q343" t="s">
        <v>223</v>
      </c>
      <c r="R343" t="s">
        <v>85</v>
      </c>
      <c r="S343">
        <v>2</v>
      </c>
      <c r="T343" s="2">
        <f t="shared" si="56"/>
        <v>6.0261131570137266E-2</v>
      </c>
      <c r="U343" s="2">
        <v>1.1245428025722499</v>
      </c>
      <c r="V343" s="2">
        <f t="shared" si="57"/>
        <v>3.388311089102862E-2</v>
      </c>
      <c r="W343" s="2">
        <v>10.469512518495319</v>
      </c>
      <c r="X343" s="2">
        <f t="shared" si="58"/>
        <v>0.3154523356761228</v>
      </c>
      <c r="Y343" s="2">
        <v>8.5268966406583786</v>
      </c>
      <c r="Z343" s="2">
        <f t="shared" si="59"/>
        <v>0.25692022017383798</v>
      </c>
      <c r="AA343">
        <v>2021</v>
      </c>
      <c r="AB343">
        <v>1</v>
      </c>
      <c r="AC343">
        <v>2500000</v>
      </c>
    </row>
    <row r="344" spans="1:29" x14ac:dyDescent="0.2">
      <c r="A344">
        <v>3491</v>
      </c>
      <c r="B344" t="s">
        <v>148</v>
      </c>
      <c r="C344">
        <v>19</v>
      </c>
      <c r="D344">
        <v>1133</v>
      </c>
      <c r="E344">
        <v>2</v>
      </c>
      <c r="F344" s="2">
        <f t="shared" si="50"/>
        <v>0.1588702559576346</v>
      </c>
      <c r="G344" s="2">
        <v>1.2892464557662611</v>
      </c>
      <c r="H344" s="2">
        <f t="shared" si="51"/>
        <v>0.10241145721002957</v>
      </c>
      <c r="I344">
        <v>0</v>
      </c>
      <c r="J344" s="2">
        <f t="shared" si="52"/>
        <v>0</v>
      </c>
      <c r="K344" s="2">
        <v>0.72738020494580269</v>
      </c>
      <c r="L344" s="2">
        <f t="shared" si="53"/>
        <v>5.7779539669128188E-2</v>
      </c>
      <c r="M344">
        <v>11</v>
      </c>
      <c r="N344" s="2">
        <f t="shared" si="54"/>
        <v>0.87378640776699024</v>
      </c>
      <c r="O344">
        <v>4</v>
      </c>
      <c r="P344" s="2">
        <f t="shared" si="55"/>
        <v>0.3177405119152692</v>
      </c>
      <c r="Q344" t="s">
        <v>224</v>
      </c>
      <c r="R344" t="s">
        <v>85</v>
      </c>
      <c r="S344">
        <v>2</v>
      </c>
      <c r="T344" s="2">
        <f t="shared" si="56"/>
        <v>0.1588702559576346</v>
      </c>
      <c r="U344" s="2">
        <v>1.2892464557662611</v>
      </c>
      <c r="V344" s="2">
        <f t="shared" si="57"/>
        <v>0.10241145721002957</v>
      </c>
      <c r="W344" s="2">
        <v>3.860409795306623</v>
      </c>
      <c r="X344" s="2">
        <f t="shared" si="58"/>
        <v>0.3066521461408615</v>
      </c>
      <c r="Y344" s="2">
        <v>2.9337382353842258</v>
      </c>
      <c r="Z344" s="2">
        <f t="shared" si="59"/>
        <v>0.23304187218409558</v>
      </c>
      <c r="AA344">
        <v>2018</v>
      </c>
      <c r="AB344">
        <v>0</v>
      </c>
      <c r="AC344">
        <v>5000000</v>
      </c>
    </row>
    <row r="345" spans="1:29" x14ac:dyDescent="0.2">
      <c r="A345">
        <v>3491</v>
      </c>
      <c r="B345" t="s">
        <v>148</v>
      </c>
      <c r="C345">
        <v>33</v>
      </c>
      <c r="D345">
        <v>2702</v>
      </c>
      <c r="E345">
        <v>2</v>
      </c>
      <c r="F345" s="2">
        <f t="shared" si="50"/>
        <v>6.6617320503330857E-2</v>
      </c>
      <c r="G345" s="2">
        <v>3.6698413603007789</v>
      </c>
      <c r="H345" s="2">
        <f t="shared" si="51"/>
        <v>0.12223749904776836</v>
      </c>
      <c r="I345">
        <v>1</v>
      </c>
      <c r="J345" s="2">
        <f t="shared" si="52"/>
        <v>3.3308660251665428E-2</v>
      </c>
      <c r="K345" s="2">
        <v>1.2324705859646199</v>
      </c>
      <c r="L345" s="2">
        <f t="shared" si="53"/>
        <v>4.1051944018066541E-2</v>
      </c>
      <c r="M345">
        <v>23</v>
      </c>
      <c r="N345" s="2">
        <f t="shared" si="54"/>
        <v>0.76609918578830494</v>
      </c>
      <c r="O345">
        <v>12</v>
      </c>
      <c r="P345" s="2">
        <f t="shared" si="55"/>
        <v>0.3997039230199852</v>
      </c>
      <c r="Q345" t="s">
        <v>224</v>
      </c>
      <c r="R345" t="s">
        <v>85</v>
      </c>
      <c r="S345">
        <v>2</v>
      </c>
      <c r="T345" s="2">
        <f t="shared" si="56"/>
        <v>6.6617320503330857E-2</v>
      </c>
      <c r="U345" s="2">
        <v>3.6698413603007789</v>
      </c>
      <c r="V345" s="2">
        <f t="shared" si="57"/>
        <v>0.12223749904776836</v>
      </c>
      <c r="W345" s="2">
        <v>10.521785717457529</v>
      </c>
      <c r="X345" s="2">
        <f t="shared" si="58"/>
        <v>0.35046658570361866</v>
      </c>
      <c r="Y345" s="2">
        <v>9.5573762562125921</v>
      </c>
      <c r="Z345" s="2">
        <f t="shared" si="59"/>
        <v>0.31834339861551936</v>
      </c>
      <c r="AA345">
        <v>2019</v>
      </c>
      <c r="AB345">
        <v>0</v>
      </c>
      <c r="AC345">
        <v>8000000</v>
      </c>
    </row>
    <row r="346" spans="1:29" x14ac:dyDescent="0.2">
      <c r="A346">
        <v>3491</v>
      </c>
      <c r="B346" t="s">
        <v>148</v>
      </c>
      <c r="C346">
        <v>27</v>
      </c>
      <c r="D346">
        <v>2409</v>
      </c>
      <c r="E346">
        <v>3</v>
      </c>
      <c r="F346" s="2">
        <f t="shared" si="50"/>
        <v>0.11207970112079702</v>
      </c>
      <c r="G346" s="2">
        <v>3.1691414033994079</v>
      </c>
      <c r="H346" s="2">
        <f t="shared" si="51"/>
        <v>0.11839880710084962</v>
      </c>
      <c r="I346">
        <v>0</v>
      </c>
      <c r="J346" s="2">
        <f t="shared" si="52"/>
        <v>0</v>
      </c>
      <c r="K346" s="2">
        <v>0.66935060452669859</v>
      </c>
      <c r="L346" s="2">
        <f t="shared" si="53"/>
        <v>2.5006871900125724E-2</v>
      </c>
      <c r="M346">
        <v>28</v>
      </c>
      <c r="N346" s="2">
        <f t="shared" si="54"/>
        <v>1.0460772104607721</v>
      </c>
      <c r="O346">
        <v>5</v>
      </c>
      <c r="P346" s="2">
        <f t="shared" si="55"/>
        <v>0.18679950186799504</v>
      </c>
      <c r="Q346" t="s">
        <v>224</v>
      </c>
      <c r="R346" t="s">
        <v>85</v>
      </c>
      <c r="S346">
        <v>3</v>
      </c>
      <c r="T346" s="2">
        <f t="shared" si="56"/>
        <v>0.11207970112079702</v>
      </c>
      <c r="U346" s="2">
        <v>3.1691414033994079</v>
      </c>
      <c r="V346" s="2">
        <f t="shared" si="57"/>
        <v>0.11839880710084962</v>
      </c>
      <c r="W346" s="2">
        <v>4.7511721029877663</v>
      </c>
      <c r="X346" s="2">
        <f t="shared" si="58"/>
        <v>0.17750331642544581</v>
      </c>
      <c r="Y346" s="2">
        <v>3.9122720276936889</v>
      </c>
      <c r="Z346" s="2">
        <f t="shared" si="59"/>
        <v>0.14616209318905438</v>
      </c>
      <c r="AA346">
        <v>2020</v>
      </c>
      <c r="AB346">
        <v>1</v>
      </c>
      <c r="AC346">
        <v>10000000</v>
      </c>
    </row>
    <row r="347" spans="1:29" x14ac:dyDescent="0.2">
      <c r="A347">
        <v>3491</v>
      </c>
      <c r="B347" t="s">
        <v>148</v>
      </c>
      <c r="C347">
        <v>31</v>
      </c>
      <c r="D347">
        <v>2721</v>
      </c>
      <c r="E347">
        <v>2</v>
      </c>
      <c r="F347" s="2">
        <f t="shared" si="50"/>
        <v>6.6152149944873215E-2</v>
      </c>
      <c r="G347" s="2">
        <v>3.198772515635937</v>
      </c>
      <c r="H347" s="2">
        <f t="shared" si="51"/>
        <v>0.10580283954694389</v>
      </c>
      <c r="I347">
        <v>0</v>
      </c>
      <c r="J347" s="2">
        <f t="shared" si="52"/>
        <v>0</v>
      </c>
      <c r="K347" s="2">
        <v>0.32126789726316929</v>
      </c>
      <c r="L347" s="2">
        <f t="shared" si="53"/>
        <v>1.0626281056113648E-2</v>
      </c>
      <c r="M347">
        <v>18</v>
      </c>
      <c r="N347" s="2">
        <f t="shared" si="54"/>
        <v>0.59536934950385889</v>
      </c>
      <c r="O347">
        <v>7</v>
      </c>
      <c r="P347" s="2">
        <f t="shared" si="55"/>
        <v>0.23153252480705622</v>
      </c>
      <c r="Q347" t="s">
        <v>224</v>
      </c>
      <c r="R347" t="s">
        <v>85</v>
      </c>
      <c r="S347">
        <v>2</v>
      </c>
      <c r="T347" s="2">
        <f t="shared" si="56"/>
        <v>6.6152149944873215E-2</v>
      </c>
      <c r="U347" s="2">
        <v>3.198772515635937</v>
      </c>
      <c r="V347" s="2">
        <f t="shared" si="57"/>
        <v>0.10580283954694389</v>
      </c>
      <c r="W347" s="2">
        <v>5.640757723711431</v>
      </c>
      <c r="X347" s="2">
        <f t="shared" si="58"/>
        <v>0.18657412537083012</v>
      </c>
      <c r="Y347" s="2">
        <v>5.4336171383038163</v>
      </c>
      <c r="Z347" s="2">
        <f t="shared" si="59"/>
        <v>0.17972272783805349</v>
      </c>
      <c r="AA347">
        <v>2021</v>
      </c>
      <c r="AB347">
        <v>1</v>
      </c>
      <c r="AC347">
        <v>8000000</v>
      </c>
    </row>
    <row r="348" spans="1:29" x14ac:dyDescent="0.2">
      <c r="A348">
        <v>3600</v>
      </c>
      <c r="B348" t="s">
        <v>149</v>
      </c>
      <c r="C348">
        <v>19</v>
      </c>
      <c r="D348">
        <v>1619</v>
      </c>
      <c r="E348">
        <v>2</v>
      </c>
      <c r="F348" s="2">
        <f t="shared" si="50"/>
        <v>0.11117974058060531</v>
      </c>
      <c r="G348" s="2">
        <v>1.475271381437778</v>
      </c>
      <c r="H348" s="2">
        <f t="shared" si="51"/>
        <v>8.201014473712169E-2</v>
      </c>
      <c r="I348">
        <v>3</v>
      </c>
      <c r="J348" s="2">
        <f t="shared" si="52"/>
        <v>0.16676961087090797</v>
      </c>
      <c r="K348" s="2">
        <v>3.7193957716226582</v>
      </c>
      <c r="L348" s="2">
        <f t="shared" si="53"/>
        <v>0.20676072850280372</v>
      </c>
      <c r="M348">
        <v>15</v>
      </c>
      <c r="N348" s="2">
        <f t="shared" si="54"/>
        <v>0.8338480543545399</v>
      </c>
      <c r="O348">
        <v>17</v>
      </c>
      <c r="P348" s="2">
        <f t="shared" si="55"/>
        <v>0.9450277949351451</v>
      </c>
      <c r="Q348" t="s">
        <v>224</v>
      </c>
      <c r="R348" t="s">
        <v>78</v>
      </c>
      <c r="S348">
        <v>2</v>
      </c>
      <c r="T348" s="2">
        <f t="shared" si="56"/>
        <v>0.11117974058060531</v>
      </c>
      <c r="U348" s="2">
        <v>1.475271381437778</v>
      </c>
      <c r="V348" s="2">
        <f t="shared" si="57"/>
        <v>8.201014473712169E-2</v>
      </c>
      <c r="W348" s="2">
        <v>8.7117303758859634</v>
      </c>
      <c r="X348" s="2">
        <f t="shared" si="58"/>
        <v>0.48428396159959036</v>
      </c>
      <c r="Y348" s="2">
        <v>5.2930943742394447</v>
      </c>
      <c r="Z348" s="2">
        <f t="shared" si="59"/>
        <v>0.29424242969830144</v>
      </c>
      <c r="AA348">
        <v>2020</v>
      </c>
      <c r="AB348">
        <v>0</v>
      </c>
      <c r="AC348">
        <v>20000000</v>
      </c>
    </row>
    <row r="349" spans="1:29" x14ac:dyDescent="0.2">
      <c r="A349">
        <v>3600</v>
      </c>
      <c r="B349" t="s">
        <v>149</v>
      </c>
      <c r="C349">
        <v>19</v>
      </c>
      <c r="D349">
        <v>993</v>
      </c>
      <c r="E349">
        <v>0</v>
      </c>
      <c r="F349" s="2">
        <f t="shared" si="50"/>
        <v>0</v>
      </c>
      <c r="G349" s="2">
        <v>0.74850529432296753</v>
      </c>
      <c r="H349" s="2">
        <f t="shared" si="51"/>
        <v>6.7840359002081643E-2</v>
      </c>
      <c r="I349">
        <v>1</v>
      </c>
      <c r="J349" s="2">
        <f t="shared" si="52"/>
        <v>9.0634441087613288E-2</v>
      </c>
      <c r="K349" s="2">
        <v>0.90901021286845196</v>
      </c>
      <c r="L349" s="2">
        <f t="shared" si="53"/>
        <v>8.2387632586264525E-2</v>
      </c>
      <c r="M349">
        <v>11</v>
      </c>
      <c r="N349" s="2">
        <f t="shared" si="54"/>
        <v>0.99697885196374625</v>
      </c>
      <c r="O349">
        <v>6</v>
      </c>
      <c r="P349" s="2">
        <f t="shared" si="55"/>
        <v>0.54380664652567978</v>
      </c>
      <c r="Q349" t="s">
        <v>224</v>
      </c>
      <c r="R349" t="s">
        <v>150</v>
      </c>
      <c r="S349">
        <v>0</v>
      </c>
      <c r="T349" s="2">
        <f t="shared" si="56"/>
        <v>0</v>
      </c>
      <c r="U349" s="2">
        <v>0.74850529432296753</v>
      </c>
      <c r="V349" s="2">
        <f t="shared" si="57"/>
        <v>6.7840359002081643E-2</v>
      </c>
      <c r="W349" s="2">
        <v>9.007555840536952</v>
      </c>
      <c r="X349" s="2">
        <f t="shared" si="58"/>
        <v>0.8163947891725335</v>
      </c>
      <c r="Y349" s="2">
        <v>8.5692304838448763</v>
      </c>
      <c r="Z349" s="2">
        <f t="shared" si="59"/>
        <v>0.77666741545421847</v>
      </c>
      <c r="AA349">
        <v>2021</v>
      </c>
      <c r="AB349">
        <v>0</v>
      </c>
      <c r="AC349">
        <v>10000000</v>
      </c>
    </row>
    <row r="350" spans="1:29" x14ac:dyDescent="0.2">
      <c r="A350">
        <v>3600</v>
      </c>
      <c r="B350" t="s">
        <v>149</v>
      </c>
      <c r="C350">
        <v>24</v>
      </c>
      <c r="D350">
        <v>1958</v>
      </c>
      <c r="E350">
        <v>1</v>
      </c>
      <c r="F350" s="2">
        <f t="shared" si="50"/>
        <v>4.5965270684371812E-2</v>
      </c>
      <c r="G350" s="2">
        <v>0.66914369631558657</v>
      </c>
      <c r="H350" s="2">
        <f t="shared" si="51"/>
        <v>3.0757371127887023E-2</v>
      </c>
      <c r="I350">
        <v>0</v>
      </c>
      <c r="J350" s="2">
        <f t="shared" si="52"/>
        <v>0</v>
      </c>
      <c r="K350" s="2">
        <v>0.80247978679835796</v>
      </c>
      <c r="L350" s="2">
        <f t="shared" si="53"/>
        <v>3.6886200618923497E-2</v>
      </c>
      <c r="M350">
        <v>9</v>
      </c>
      <c r="N350" s="2">
        <f t="shared" si="54"/>
        <v>0.41368743615934628</v>
      </c>
      <c r="O350">
        <v>10</v>
      </c>
      <c r="P350" s="2">
        <f t="shared" si="55"/>
        <v>0.45965270684371806</v>
      </c>
      <c r="Q350" t="s">
        <v>224</v>
      </c>
      <c r="R350" t="s">
        <v>151</v>
      </c>
      <c r="S350">
        <v>1</v>
      </c>
      <c r="T350" s="2">
        <f t="shared" si="56"/>
        <v>4.5965270684371812E-2</v>
      </c>
      <c r="U350" s="2">
        <v>0.66914369631558657</v>
      </c>
      <c r="V350" s="2">
        <f t="shared" si="57"/>
        <v>3.0757371127887023E-2</v>
      </c>
      <c r="W350" s="2">
        <v>3.049308499321342</v>
      </c>
      <c r="X350" s="2">
        <f t="shared" si="58"/>
        <v>0.14016229057146107</v>
      </c>
      <c r="Y350" s="2">
        <v>2.7344142459332939</v>
      </c>
      <c r="Z350" s="2">
        <f t="shared" si="59"/>
        <v>0.12568809097752628</v>
      </c>
      <c r="AA350">
        <v>2022</v>
      </c>
      <c r="AB350">
        <v>1</v>
      </c>
      <c r="AC350">
        <v>8000000</v>
      </c>
    </row>
    <row r="351" spans="1:29" x14ac:dyDescent="0.2">
      <c r="A351">
        <v>3600</v>
      </c>
      <c r="B351" t="s">
        <v>149</v>
      </c>
      <c r="C351">
        <v>12</v>
      </c>
      <c r="D351">
        <v>843</v>
      </c>
      <c r="E351">
        <v>0</v>
      </c>
      <c r="F351" s="2">
        <f t="shared" si="50"/>
        <v>0</v>
      </c>
      <c r="G351" s="2">
        <v>0.20426762104034421</v>
      </c>
      <c r="H351" s="2">
        <f t="shared" si="51"/>
        <v>2.180793107192287E-2</v>
      </c>
      <c r="I351">
        <v>2</v>
      </c>
      <c r="J351" s="2">
        <f t="shared" si="52"/>
        <v>0.21352313167259787</v>
      </c>
      <c r="K351" s="2">
        <v>0.6003383956849575</v>
      </c>
      <c r="L351" s="2">
        <f t="shared" si="53"/>
        <v>6.4093067154977673E-2</v>
      </c>
      <c r="M351">
        <v>6</v>
      </c>
      <c r="N351" s="2">
        <f t="shared" si="54"/>
        <v>0.64056939501779353</v>
      </c>
      <c r="O351">
        <v>3</v>
      </c>
      <c r="P351" s="2">
        <f t="shared" si="55"/>
        <v>0.32028469750889677</v>
      </c>
      <c r="Q351" t="s">
        <v>224</v>
      </c>
      <c r="R351" t="s">
        <v>151</v>
      </c>
      <c r="S351">
        <v>0</v>
      </c>
      <c r="T351" s="2">
        <f t="shared" si="56"/>
        <v>0</v>
      </c>
      <c r="U351" s="2">
        <v>0.20426762104034421</v>
      </c>
      <c r="V351" s="2">
        <f t="shared" si="57"/>
        <v>2.180793107192287E-2</v>
      </c>
      <c r="W351" s="2">
        <v>2.74189380183816</v>
      </c>
      <c r="X351" s="2">
        <f t="shared" si="58"/>
        <v>0.29272887564108468</v>
      </c>
      <c r="Y351" s="2">
        <v>2.1127189621329312</v>
      </c>
      <c r="Z351" s="2">
        <f t="shared" si="59"/>
        <v>0.22555718456935209</v>
      </c>
      <c r="AA351">
        <v>2023</v>
      </c>
      <c r="AB351">
        <v>1</v>
      </c>
      <c r="AC351">
        <v>3700000</v>
      </c>
    </row>
    <row r="352" spans="1:29" x14ac:dyDescent="0.2">
      <c r="A352">
        <v>3603</v>
      </c>
      <c r="B352" t="s">
        <v>152</v>
      </c>
      <c r="C352">
        <v>15</v>
      </c>
      <c r="D352">
        <v>699</v>
      </c>
      <c r="E352">
        <v>2</v>
      </c>
      <c r="F352" s="2">
        <f t="shared" si="50"/>
        <v>0.25751072961373389</v>
      </c>
      <c r="G352" s="2">
        <v>1.6011860053986311</v>
      </c>
      <c r="H352" s="2">
        <f t="shared" si="51"/>
        <v>0.2061612882487508</v>
      </c>
      <c r="I352">
        <v>1</v>
      </c>
      <c r="J352" s="2">
        <f t="shared" si="52"/>
        <v>0.12875536480686695</v>
      </c>
      <c r="K352" s="2">
        <v>2.3869004249572749</v>
      </c>
      <c r="L352" s="2">
        <f t="shared" si="53"/>
        <v>0.30732623497303968</v>
      </c>
      <c r="M352">
        <v>17</v>
      </c>
      <c r="N352" s="2">
        <f t="shared" si="54"/>
        <v>2.188841201716738</v>
      </c>
      <c r="O352">
        <v>16</v>
      </c>
      <c r="P352" s="2">
        <f t="shared" si="55"/>
        <v>2.0600858369098711</v>
      </c>
      <c r="Q352" t="s">
        <v>223</v>
      </c>
      <c r="R352" t="s">
        <v>30</v>
      </c>
      <c r="S352">
        <v>2</v>
      </c>
      <c r="T352" s="2">
        <f t="shared" si="56"/>
        <v>0.25751072961373389</v>
      </c>
      <c r="U352" s="2">
        <v>1.6011860053986311</v>
      </c>
      <c r="V352" s="2">
        <f t="shared" si="57"/>
        <v>0.2061612882487508</v>
      </c>
      <c r="W352" s="2">
        <v>9.1349256187677383</v>
      </c>
      <c r="X352" s="2">
        <f t="shared" si="58"/>
        <v>1.176170680528035</v>
      </c>
      <c r="Y352" s="2">
        <v>6.0287104099988937</v>
      </c>
      <c r="Z352" s="2">
        <f t="shared" si="59"/>
        <v>0.7762288081543639</v>
      </c>
      <c r="AA352">
        <v>2021</v>
      </c>
      <c r="AB352">
        <v>0</v>
      </c>
      <c r="AC352">
        <v>15000000</v>
      </c>
    </row>
    <row r="353" spans="1:29" x14ac:dyDescent="0.2">
      <c r="A353">
        <v>3603</v>
      </c>
      <c r="B353" t="s">
        <v>152</v>
      </c>
      <c r="C353">
        <v>30</v>
      </c>
      <c r="D353">
        <v>2059</v>
      </c>
      <c r="E353">
        <v>1</v>
      </c>
      <c r="F353" s="2">
        <f t="shared" si="50"/>
        <v>4.3710539096648855E-2</v>
      </c>
      <c r="G353" s="2">
        <v>1.6808423968032</v>
      </c>
      <c r="H353" s="2">
        <f t="shared" si="51"/>
        <v>7.3470527300771249E-2</v>
      </c>
      <c r="I353">
        <v>2</v>
      </c>
      <c r="J353" s="2">
        <f t="shared" si="52"/>
        <v>8.742107819329771E-2</v>
      </c>
      <c r="K353" s="2">
        <v>5.9412872605025768</v>
      </c>
      <c r="L353" s="2">
        <f t="shared" si="53"/>
        <v>0.25969686908461964</v>
      </c>
      <c r="M353">
        <v>30</v>
      </c>
      <c r="N353" s="2">
        <f t="shared" si="54"/>
        <v>1.3113161728994658</v>
      </c>
      <c r="O353">
        <v>33</v>
      </c>
      <c r="P353" s="2">
        <f t="shared" si="55"/>
        <v>1.4424477901894122</v>
      </c>
      <c r="Q353" t="s">
        <v>223</v>
      </c>
      <c r="R353" t="s">
        <v>82</v>
      </c>
      <c r="S353">
        <v>1</v>
      </c>
      <c r="T353" s="2">
        <f t="shared" si="56"/>
        <v>4.3710539096648855E-2</v>
      </c>
      <c r="U353" s="2">
        <v>1.6808423968032</v>
      </c>
      <c r="V353" s="2">
        <f t="shared" si="57"/>
        <v>7.3470527300771249E-2</v>
      </c>
      <c r="W353" s="2">
        <v>18.159952774643891</v>
      </c>
      <c r="X353" s="2">
        <f t="shared" si="58"/>
        <v>0.79378132574936866</v>
      </c>
      <c r="Y353" s="2">
        <v>13.80841387063265</v>
      </c>
      <c r="Z353" s="2">
        <f t="shared" si="59"/>
        <v>0.60357321435499689</v>
      </c>
      <c r="AA353">
        <v>2022</v>
      </c>
      <c r="AB353">
        <v>0</v>
      </c>
      <c r="AC353">
        <v>14000000</v>
      </c>
    </row>
    <row r="354" spans="1:29" x14ac:dyDescent="0.2">
      <c r="A354">
        <v>3603</v>
      </c>
      <c r="B354" t="s">
        <v>152</v>
      </c>
      <c r="C354">
        <v>25</v>
      </c>
      <c r="D354">
        <v>1764</v>
      </c>
      <c r="E354">
        <v>2</v>
      </c>
      <c r="F354" s="2">
        <f t="shared" si="50"/>
        <v>0.10204081632653061</v>
      </c>
      <c r="G354" s="2">
        <v>2.9498002268373971</v>
      </c>
      <c r="H354" s="2">
        <f t="shared" si="51"/>
        <v>0.15050001157333659</v>
      </c>
      <c r="I354">
        <v>1</v>
      </c>
      <c r="J354" s="2">
        <f t="shared" si="52"/>
        <v>5.1020408163265307E-2</v>
      </c>
      <c r="K354" s="2">
        <v>2.1806315090507269</v>
      </c>
      <c r="L354" s="2">
        <f t="shared" si="53"/>
        <v>0.11125670964544525</v>
      </c>
      <c r="M354">
        <v>39</v>
      </c>
      <c r="N354" s="2">
        <f t="shared" si="54"/>
        <v>1.989795918367347</v>
      </c>
      <c r="O354">
        <v>26</v>
      </c>
      <c r="P354" s="2">
        <f t="shared" si="55"/>
        <v>1.3265306122448979</v>
      </c>
      <c r="Q354" t="s">
        <v>223</v>
      </c>
      <c r="R354" t="s">
        <v>82</v>
      </c>
      <c r="S354">
        <v>1</v>
      </c>
      <c r="T354" s="2">
        <f t="shared" si="56"/>
        <v>5.1020408163265307E-2</v>
      </c>
      <c r="U354" s="2">
        <v>2.1897050924599171</v>
      </c>
      <c r="V354" s="2">
        <f t="shared" si="57"/>
        <v>0.11171964757448558</v>
      </c>
      <c r="W354" s="2">
        <v>9.6920506246387959</v>
      </c>
      <c r="X354" s="2">
        <f t="shared" si="58"/>
        <v>0.49449237880810187</v>
      </c>
      <c r="Y354" s="2">
        <v>6.4810722637921572</v>
      </c>
      <c r="Z354" s="2">
        <f t="shared" si="59"/>
        <v>0.33066695223429377</v>
      </c>
      <c r="AA354">
        <v>2023</v>
      </c>
      <c r="AB354">
        <v>1</v>
      </c>
      <c r="AC354">
        <v>5000000</v>
      </c>
    </row>
    <row r="355" spans="1:29" x14ac:dyDescent="0.2">
      <c r="A355">
        <v>3603</v>
      </c>
      <c r="B355" t="s">
        <v>152</v>
      </c>
      <c r="C355">
        <v>32</v>
      </c>
      <c r="D355">
        <v>2343</v>
      </c>
      <c r="E355">
        <v>7</v>
      </c>
      <c r="F355" s="2">
        <f t="shared" si="50"/>
        <v>0.26888604353393086</v>
      </c>
      <c r="G355" s="2">
        <v>5.665476999245584</v>
      </c>
      <c r="H355" s="2">
        <f t="shared" si="51"/>
        <v>0.21762395643709029</v>
      </c>
      <c r="I355">
        <v>4</v>
      </c>
      <c r="J355" s="2">
        <f t="shared" si="52"/>
        <v>0.15364916773367479</v>
      </c>
      <c r="K355" s="2">
        <v>4.0064952364191413</v>
      </c>
      <c r="L355" s="2">
        <f t="shared" si="53"/>
        <v>0.1538986646511834</v>
      </c>
      <c r="M355">
        <v>51</v>
      </c>
      <c r="N355" s="2">
        <f t="shared" si="54"/>
        <v>1.9590268886043534</v>
      </c>
      <c r="O355">
        <v>31</v>
      </c>
      <c r="P355" s="2">
        <f t="shared" si="55"/>
        <v>1.1907810499359794</v>
      </c>
      <c r="Q355" t="s">
        <v>223</v>
      </c>
      <c r="R355" t="s">
        <v>82</v>
      </c>
      <c r="S355">
        <v>7</v>
      </c>
      <c r="T355" s="2">
        <f t="shared" si="56"/>
        <v>0.26888604353393086</v>
      </c>
      <c r="U355" s="2">
        <v>5.665476999245584</v>
      </c>
      <c r="V355" s="2">
        <f t="shared" si="57"/>
        <v>0.21762395643709029</v>
      </c>
      <c r="W355" s="2">
        <v>24.051789749413729</v>
      </c>
      <c r="X355" s="2">
        <f t="shared" si="58"/>
        <v>0.92388436937568752</v>
      </c>
      <c r="Y355" s="2">
        <v>16.688746716827151</v>
      </c>
      <c r="Z355" s="2">
        <f t="shared" si="59"/>
        <v>0.64105301088964728</v>
      </c>
      <c r="AA355">
        <v>2024</v>
      </c>
      <c r="AB355">
        <v>1</v>
      </c>
      <c r="AC355">
        <v>12000000</v>
      </c>
    </row>
    <row r="356" spans="1:29" x14ac:dyDescent="0.2">
      <c r="A356">
        <v>4105</v>
      </c>
      <c r="B356" t="s">
        <v>153</v>
      </c>
      <c r="C356">
        <v>38</v>
      </c>
      <c r="D356">
        <v>3143</v>
      </c>
      <c r="E356">
        <v>13</v>
      </c>
      <c r="F356" s="2">
        <f t="shared" si="50"/>
        <v>0.3722558065542475</v>
      </c>
      <c r="G356" s="2">
        <v>14.27359064668417</v>
      </c>
      <c r="H356" s="2">
        <f t="shared" si="51"/>
        <v>0.40872515373896767</v>
      </c>
      <c r="I356">
        <v>7</v>
      </c>
      <c r="J356" s="2">
        <f t="shared" si="52"/>
        <v>0.20044543429844097</v>
      </c>
      <c r="K356" s="2">
        <v>6.9911274015903473</v>
      </c>
      <c r="L356" s="2">
        <f t="shared" si="53"/>
        <v>0.20019136689250119</v>
      </c>
      <c r="M356">
        <v>111</v>
      </c>
      <c r="N356" s="2">
        <f t="shared" si="54"/>
        <v>3.1784918867324214</v>
      </c>
      <c r="O356">
        <v>42</v>
      </c>
      <c r="P356" s="2">
        <f t="shared" si="55"/>
        <v>1.2026726057906458</v>
      </c>
      <c r="Q356" t="s">
        <v>222</v>
      </c>
      <c r="R356" t="s">
        <v>85</v>
      </c>
      <c r="S356">
        <v>11</v>
      </c>
      <c r="T356" s="2">
        <f t="shared" si="56"/>
        <v>0.31498568246897868</v>
      </c>
      <c r="U356" s="2">
        <v>12.75125465542078</v>
      </c>
      <c r="V356" s="2">
        <f t="shared" si="57"/>
        <v>0.36513296817940505</v>
      </c>
      <c r="W356" s="2">
        <v>20.917925838381048</v>
      </c>
      <c r="X356" s="2">
        <f t="shared" si="58"/>
        <v>0.59898610418526699</v>
      </c>
      <c r="Y356" s="2">
        <v>4.3379602590575814</v>
      </c>
      <c r="Z356" s="2">
        <f t="shared" si="59"/>
        <v>0.12421776115659636</v>
      </c>
      <c r="AA356">
        <v>2018</v>
      </c>
      <c r="AB356">
        <v>0</v>
      </c>
      <c r="AC356">
        <v>35000000</v>
      </c>
    </row>
    <row r="357" spans="1:29" x14ac:dyDescent="0.2">
      <c r="A357">
        <v>4105</v>
      </c>
      <c r="B357" t="s">
        <v>153</v>
      </c>
      <c r="C357">
        <v>38</v>
      </c>
      <c r="D357">
        <v>3269</v>
      </c>
      <c r="E357">
        <v>17</v>
      </c>
      <c r="F357" s="2">
        <f t="shared" si="50"/>
        <v>0.46803303762618537</v>
      </c>
      <c r="G357" s="2">
        <v>16.51080366875976</v>
      </c>
      <c r="H357" s="2">
        <f t="shared" si="51"/>
        <v>0.45456479969054098</v>
      </c>
      <c r="I357">
        <v>6</v>
      </c>
      <c r="J357" s="2">
        <f t="shared" si="52"/>
        <v>0.16518813092688894</v>
      </c>
      <c r="K357" s="2">
        <v>7.2269447073340416</v>
      </c>
      <c r="L357" s="2">
        <f t="shared" si="53"/>
        <v>0.19896758141941379</v>
      </c>
      <c r="M357">
        <v>117</v>
      </c>
      <c r="N357" s="2">
        <f t="shared" si="54"/>
        <v>3.2211685530743348</v>
      </c>
      <c r="O357">
        <v>48</v>
      </c>
      <c r="P357" s="2">
        <f t="shared" si="55"/>
        <v>1.3215050474151115</v>
      </c>
      <c r="Q357" t="s">
        <v>222</v>
      </c>
      <c r="R357" t="s">
        <v>85</v>
      </c>
      <c r="S357">
        <v>13</v>
      </c>
      <c r="T357" s="2">
        <f t="shared" si="56"/>
        <v>0.35790761700825946</v>
      </c>
      <c r="U357" s="2">
        <v>13.46612661983818</v>
      </c>
      <c r="V357" s="2">
        <f t="shared" si="57"/>
        <v>0.37074071452598228</v>
      </c>
      <c r="W357" s="2">
        <v>22.560237324796621</v>
      </c>
      <c r="X357" s="2">
        <f t="shared" si="58"/>
        <v>0.62111390615836526</v>
      </c>
      <c r="Y357" s="2">
        <v>5.7095356294885278</v>
      </c>
      <c r="Z357" s="2">
        <f t="shared" si="59"/>
        <v>0.15719125318261473</v>
      </c>
      <c r="AA357">
        <v>2019</v>
      </c>
      <c r="AB357">
        <v>0</v>
      </c>
      <c r="AC357">
        <v>40000000</v>
      </c>
    </row>
    <row r="358" spans="1:29" x14ac:dyDescent="0.2">
      <c r="A358">
        <v>4105</v>
      </c>
      <c r="B358" t="s">
        <v>153</v>
      </c>
      <c r="C358">
        <v>10</v>
      </c>
      <c r="D358">
        <v>824</v>
      </c>
      <c r="E358">
        <v>4</v>
      </c>
      <c r="F358" s="2">
        <f t="shared" si="50"/>
        <v>0.43689320388349512</v>
      </c>
      <c r="G358" s="2">
        <v>2.3609060943126678</v>
      </c>
      <c r="H358" s="2">
        <f t="shared" si="51"/>
        <v>0.25786595690308267</v>
      </c>
      <c r="I358">
        <v>0</v>
      </c>
      <c r="J358" s="2">
        <f t="shared" si="52"/>
        <v>0</v>
      </c>
      <c r="K358" s="2">
        <v>0.63296200335025787</v>
      </c>
      <c r="L358" s="2">
        <f t="shared" si="53"/>
        <v>6.9134199395052442E-2</v>
      </c>
      <c r="M358">
        <v>26</v>
      </c>
      <c r="N358" s="2">
        <f t="shared" si="54"/>
        <v>2.8398058252427183</v>
      </c>
      <c r="O358">
        <v>6</v>
      </c>
      <c r="P358" s="2">
        <f t="shared" si="55"/>
        <v>0.65533980582524276</v>
      </c>
      <c r="Q358" t="s">
        <v>222</v>
      </c>
      <c r="R358" t="s">
        <v>85</v>
      </c>
      <c r="S358">
        <v>4</v>
      </c>
      <c r="T358" s="2">
        <f t="shared" si="56"/>
        <v>0.43689320388349512</v>
      </c>
      <c r="U358" s="2">
        <v>2.3609060943126678</v>
      </c>
      <c r="V358" s="2">
        <f t="shared" si="57"/>
        <v>0.25786595690308267</v>
      </c>
      <c r="W358" s="2">
        <v>3.6840734072029591</v>
      </c>
      <c r="X358" s="2">
        <f t="shared" si="58"/>
        <v>0.4023866585537213</v>
      </c>
      <c r="Y358" s="2">
        <v>1.233210993930697</v>
      </c>
      <c r="Z358" s="2">
        <f t="shared" si="59"/>
        <v>0.13469537555068292</v>
      </c>
      <c r="AA358">
        <v>2020</v>
      </c>
      <c r="AB358">
        <v>1</v>
      </c>
      <c r="AC358">
        <v>28000000</v>
      </c>
    </row>
    <row r="359" spans="1:29" x14ac:dyDescent="0.2">
      <c r="A359">
        <v>4105</v>
      </c>
      <c r="B359" t="s">
        <v>153</v>
      </c>
      <c r="C359">
        <v>34</v>
      </c>
      <c r="D359">
        <v>2651</v>
      </c>
      <c r="E359">
        <v>6</v>
      </c>
      <c r="F359" s="2">
        <f t="shared" si="50"/>
        <v>0.2036967182195398</v>
      </c>
      <c r="G359" s="2">
        <v>7.0713795982301244</v>
      </c>
      <c r="H359" s="2">
        <f t="shared" si="51"/>
        <v>0.24006946957401401</v>
      </c>
      <c r="I359">
        <v>4</v>
      </c>
      <c r="J359" s="2">
        <f t="shared" si="52"/>
        <v>0.13579781214635986</v>
      </c>
      <c r="K359" s="2">
        <v>3.3940182765945792</v>
      </c>
      <c r="L359" s="2">
        <f t="shared" si="53"/>
        <v>0.11522506408657568</v>
      </c>
      <c r="M359">
        <v>57</v>
      </c>
      <c r="N359" s="2">
        <f t="shared" si="54"/>
        <v>1.9351188230856282</v>
      </c>
      <c r="O359">
        <v>38</v>
      </c>
      <c r="P359" s="2">
        <f t="shared" si="55"/>
        <v>1.2900792153904188</v>
      </c>
      <c r="Q359" t="s">
        <v>222</v>
      </c>
      <c r="R359" t="s">
        <v>85</v>
      </c>
      <c r="S359">
        <v>5</v>
      </c>
      <c r="T359" s="2">
        <f t="shared" si="56"/>
        <v>0.16974726518294983</v>
      </c>
      <c r="U359" s="2">
        <v>6.3102115727961063</v>
      </c>
      <c r="V359" s="2">
        <f t="shared" si="57"/>
        <v>0.21422823144158792</v>
      </c>
      <c r="W359" s="2">
        <v>12.29030562471598</v>
      </c>
      <c r="X359" s="2">
        <f t="shared" si="58"/>
        <v>0.41724915361163267</v>
      </c>
      <c r="Y359" s="2">
        <v>4.0585636929608881</v>
      </c>
      <c r="Z359" s="2">
        <f t="shared" si="59"/>
        <v>0.13778601749018482</v>
      </c>
      <c r="AA359">
        <v>2021</v>
      </c>
      <c r="AB359">
        <v>1</v>
      </c>
      <c r="AC359">
        <v>18000000</v>
      </c>
    </row>
    <row r="360" spans="1:29" x14ac:dyDescent="0.2">
      <c r="A360">
        <v>4699</v>
      </c>
      <c r="B360" t="s">
        <v>154</v>
      </c>
      <c r="C360">
        <v>28</v>
      </c>
      <c r="D360">
        <v>2403</v>
      </c>
      <c r="E360">
        <v>0</v>
      </c>
      <c r="F360" s="2">
        <f t="shared" si="50"/>
        <v>0</v>
      </c>
      <c r="G360" s="2">
        <v>1.0273185102269049</v>
      </c>
      <c r="H360" s="2">
        <f t="shared" si="51"/>
        <v>3.8476348697636886E-2</v>
      </c>
      <c r="I360">
        <v>2</v>
      </c>
      <c r="J360" s="2">
        <f t="shared" si="52"/>
        <v>7.4906367041198504E-2</v>
      </c>
      <c r="K360" s="2">
        <v>1.1877201180905099</v>
      </c>
      <c r="L360" s="2">
        <f t="shared" si="53"/>
        <v>4.4483899553951683E-2</v>
      </c>
      <c r="M360">
        <v>16</v>
      </c>
      <c r="N360" s="2">
        <f t="shared" si="54"/>
        <v>0.59925093632958804</v>
      </c>
      <c r="O360">
        <v>7</v>
      </c>
      <c r="P360" s="2">
        <f t="shared" si="55"/>
        <v>0.26217228464419473</v>
      </c>
      <c r="Q360" t="s">
        <v>224</v>
      </c>
      <c r="R360" t="s">
        <v>57</v>
      </c>
      <c r="S360">
        <v>0</v>
      </c>
      <c r="T360" s="2">
        <f t="shared" si="56"/>
        <v>0</v>
      </c>
      <c r="U360" s="2">
        <v>1.0273185102269049</v>
      </c>
      <c r="V360" s="2">
        <f t="shared" si="57"/>
        <v>3.8476348697636886E-2</v>
      </c>
      <c r="W360" s="2">
        <v>6.938273724168539</v>
      </c>
      <c r="X360" s="2">
        <f t="shared" si="58"/>
        <v>0.25986043910743595</v>
      </c>
      <c r="Y360" s="2">
        <v>6.6095663234591484</v>
      </c>
      <c r="Z360" s="2">
        <f t="shared" si="59"/>
        <v>0.24754930050408794</v>
      </c>
      <c r="AA360">
        <v>2020</v>
      </c>
      <c r="AB360">
        <v>0</v>
      </c>
      <c r="AC360">
        <v>10000000</v>
      </c>
    </row>
    <row r="361" spans="1:29" x14ac:dyDescent="0.2">
      <c r="A361">
        <v>4699</v>
      </c>
      <c r="B361" t="s">
        <v>154</v>
      </c>
      <c r="C361">
        <v>11</v>
      </c>
      <c r="D361">
        <v>803</v>
      </c>
      <c r="E361">
        <v>0</v>
      </c>
      <c r="F361" s="2">
        <f t="shared" si="50"/>
        <v>0</v>
      </c>
      <c r="G361" s="2">
        <v>0.40258349478244781</v>
      </c>
      <c r="H361" s="2">
        <f t="shared" si="51"/>
        <v>4.5121437771382694E-2</v>
      </c>
      <c r="I361">
        <v>0</v>
      </c>
      <c r="J361" s="2">
        <f t="shared" si="52"/>
        <v>0</v>
      </c>
      <c r="K361" s="2">
        <v>0.37776198983192449</v>
      </c>
      <c r="L361" s="2">
        <f t="shared" si="53"/>
        <v>4.2339450915159657E-2</v>
      </c>
      <c r="M361">
        <v>5</v>
      </c>
      <c r="N361" s="2">
        <f t="shared" si="54"/>
        <v>0.56039850560398508</v>
      </c>
      <c r="O361">
        <v>2</v>
      </c>
      <c r="P361" s="2">
        <f t="shared" si="55"/>
        <v>0.22415940224159403</v>
      </c>
      <c r="Q361" t="s">
        <v>224</v>
      </c>
      <c r="R361" t="s">
        <v>57</v>
      </c>
      <c r="S361">
        <v>0</v>
      </c>
      <c r="T361" s="2">
        <f t="shared" si="56"/>
        <v>0</v>
      </c>
      <c r="U361" s="2">
        <v>0.40258349478244781</v>
      </c>
      <c r="V361" s="2">
        <f t="shared" si="57"/>
        <v>4.5121437771382694E-2</v>
      </c>
      <c r="W361" s="2">
        <v>1.9413573993369939</v>
      </c>
      <c r="X361" s="2">
        <f t="shared" si="58"/>
        <v>0.21758675708633804</v>
      </c>
      <c r="Y361" s="2">
        <v>1.563595990650356</v>
      </c>
      <c r="Z361" s="2">
        <f t="shared" si="59"/>
        <v>0.17524737130576842</v>
      </c>
      <c r="AA361">
        <v>2021</v>
      </c>
      <c r="AB361">
        <v>0</v>
      </c>
      <c r="AC361">
        <v>6000000</v>
      </c>
    </row>
    <row r="362" spans="1:29" x14ac:dyDescent="0.2">
      <c r="A362">
        <v>4699</v>
      </c>
      <c r="B362" t="s">
        <v>154</v>
      </c>
      <c r="C362">
        <v>17</v>
      </c>
      <c r="D362">
        <v>1020</v>
      </c>
      <c r="E362">
        <v>0</v>
      </c>
      <c r="F362" s="2">
        <f t="shared" si="50"/>
        <v>0</v>
      </c>
      <c r="G362" s="2">
        <v>0</v>
      </c>
      <c r="H362" s="2">
        <f t="shared" si="51"/>
        <v>0</v>
      </c>
      <c r="I362">
        <v>0</v>
      </c>
      <c r="J362" s="2">
        <f t="shared" si="52"/>
        <v>0</v>
      </c>
      <c r="K362" s="2">
        <v>0</v>
      </c>
      <c r="L362" s="2">
        <f t="shared" si="53"/>
        <v>0</v>
      </c>
      <c r="M362">
        <v>0</v>
      </c>
      <c r="N362" s="2">
        <f t="shared" si="54"/>
        <v>0</v>
      </c>
      <c r="O362">
        <v>0</v>
      </c>
      <c r="P362" s="2">
        <f t="shared" si="55"/>
        <v>0</v>
      </c>
      <c r="Q362" t="s">
        <v>224</v>
      </c>
      <c r="R362" t="s">
        <v>57</v>
      </c>
      <c r="S362">
        <v>0</v>
      </c>
      <c r="T362" s="2">
        <f t="shared" si="56"/>
        <v>0</v>
      </c>
      <c r="U362" s="2">
        <v>0</v>
      </c>
      <c r="V362" s="2">
        <f t="shared" si="57"/>
        <v>0</v>
      </c>
      <c r="W362" s="2">
        <v>2.792106674984097</v>
      </c>
      <c r="X362" s="2">
        <f t="shared" si="58"/>
        <v>0.2463623536750674</v>
      </c>
      <c r="Y362" s="2">
        <v>2.792106674984097</v>
      </c>
      <c r="Z362" s="2">
        <f t="shared" si="59"/>
        <v>0.2463623536750674</v>
      </c>
      <c r="AA362">
        <v>2022</v>
      </c>
      <c r="AB362">
        <v>1</v>
      </c>
      <c r="AC362">
        <v>3500000</v>
      </c>
    </row>
    <row r="363" spans="1:29" x14ac:dyDescent="0.2">
      <c r="A363">
        <v>4699</v>
      </c>
      <c r="B363" t="s">
        <v>154</v>
      </c>
      <c r="C363">
        <v>20</v>
      </c>
      <c r="D363">
        <v>1171</v>
      </c>
      <c r="E363">
        <v>0</v>
      </c>
      <c r="F363" s="2">
        <f t="shared" si="50"/>
        <v>0</v>
      </c>
      <c r="G363" s="2">
        <v>0.70867757499217987</v>
      </c>
      <c r="H363" s="2">
        <f t="shared" si="51"/>
        <v>5.4467106532276849E-2</v>
      </c>
      <c r="I363">
        <v>1</v>
      </c>
      <c r="J363" s="2">
        <f t="shared" si="52"/>
        <v>7.6857386848847145E-2</v>
      </c>
      <c r="K363" s="2">
        <v>1.0426491126418109</v>
      </c>
      <c r="L363" s="2">
        <f t="shared" si="53"/>
        <v>8.0135286197918862E-2</v>
      </c>
      <c r="M363">
        <v>6</v>
      </c>
      <c r="N363" s="2">
        <f t="shared" si="54"/>
        <v>0.46114432109308284</v>
      </c>
      <c r="O363">
        <v>4</v>
      </c>
      <c r="P363" s="2">
        <f t="shared" si="55"/>
        <v>0.30742954739538858</v>
      </c>
      <c r="Q363" t="s">
        <v>224</v>
      </c>
      <c r="R363" t="s">
        <v>57</v>
      </c>
      <c r="S363">
        <v>0</v>
      </c>
      <c r="T363" s="2">
        <f t="shared" si="56"/>
        <v>0</v>
      </c>
      <c r="U363" s="2">
        <v>0.70867757499217987</v>
      </c>
      <c r="V363" s="2">
        <f t="shared" si="57"/>
        <v>5.4467106532276849E-2</v>
      </c>
      <c r="W363" s="2">
        <v>5.1374981813132763</v>
      </c>
      <c r="X363" s="2">
        <f t="shared" si="58"/>
        <v>0.39485468515644312</v>
      </c>
      <c r="Y363" s="2">
        <v>5.0699892975389957</v>
      </c>
      <c r="Z363" s="2">
        <f t="shared" si="59"/>
        <v>0.38966612876046935</v>
      </c>
      <c r="AA363">
        <v>2023</v>
      </c>
      <c r="AB363">
        <v>1</v>
      </c>
      <c r="AC363">
        <v>1500000</v>
      </c>
    </row>
    <row r="364" spans="1:29" x14ac:dyDescent="0.2">
      <c r="A364">
        <v>4882</v>
      </c>
      <c r="B364" t="s">
        <v>155</v>
      </c>
      <c r="C364">
        <v>34</v>
      </c>
      <c r="D364">
        <v>2971</v>
      </c>
      <c r="E364">
        <v>0</v>
      </c>
      <c r="F364" s="2">
        <f t="shared" si="50"/>
        <v>0</v>
      </c>
      <c r="G364" s="2">
        <v>1.6437224075198169</v>
      </c>
      <c r="H364" s="2">
        <f t="shared" si="51"/>
        <v>4.9793004603427636E-2</v>
      </c>
      <c r="I364">
        <v>2</v>
      </c>
      <c r="J364" s="2">
        <f t="shared" si="52"/>
        <v>6.0585661393470214E-2</v>
      </c>
      <c r="K364" s="2">
        <v>2.4843256939202552</v>
      </c>
      <c r="L364" s="2">
        <f t="shared" si="53"/>
        <v>7.5257257641475242E-2</v>
      </c>
      <c r="M364">
        <v>30</v>
      </c>
      <c r="N364" s="2">
        <f t="shared" si="54"/>
        <v>0.90878492090205321</v>
      </c>
      <c r="O364">
        <v>34</v>
      </c>
      <c r="P364" s="2">
        <f t="shared" si="55"/>
        <v>1.0299562436889937</v>
      </c>
      <c r="Q364" t="s">
        <v>223</v>
      </c>
      <c r="R364" t="s">
        <v>156</v>
      </c>
      <c r="S364">
        <v>0</v>
      </c>
      <c r="T364" s="2">
        <f t="shared" si="56"/>
        <v>0</v>
      </c>
      <c r="U364" s="2">
        <v>1.6437224075198169</v>
      </c>
      <c r="V364" s="2">
        <f t="shared" si="57"/>
        <v>4.9793004603427636E-2</v>
      </c>
      <c r="W364" s="2">
        <v>8.5438292426988482</v>
      </c>
      <c r="X364" s="2">
        <f t="shared" si="58"/>
        <v>0.25881677275089071</v>
      </c>
      <c r="Y364" s="2">
        <v>5.7534062163904309</v>
      </c>
      <c r="Z364" s="2">
        <f t="shared" si="59"/>
        <v>0.17428696044265862</v>
      </c>
      <c r="AA364">
        <v>2021</v>
      </c>
      <c r="AB364">
        <v>0</v>
      </c>
      <c r="AC364">
        <v>3000000</v>
      </c>
    </row>
    <row r="365" spans="1:29" x14ac:dyDescent="0.2">
      <c r="A365">
        <v>4882</v>
      </c>
      <c r="B365" t="s">
        <v>155</v>
      </c>
      <c r="C365">
        <v>29</v>
      </c>
      <c r="D365">
        <v>2355</v>
      </c>
      <c r="E365">
        <v>0</v>
      </c>
      <c r="F365" s="2">
        <f t="shared" si="50"/>
        <v>0</v>
      </c>
      <c r="G365" s="2">
        <v>0.43928320147097111</v>
      </c>
      <c r="H365" s="2">
        <f t="shared" si="51"/>
        <v>1.6787893049846032E-2</v>
      </c>
      <c r="I365">
        <v>1</v>
      </c>
      <c r="J365" s="2">
        <f t="shared" si="52"/>
        <v>3.8216560509554139E-2</v>
      </c>
      <c r="K365" s="2">
        <v>1.266298089176416</v>
      </c>
      <c r="L365" s="2">
        <f t="shared" si="53"/>
        <v>4.8393557548143291E-2</v>
      </c>
      <c r="M365">
        <v>13</v>
      </c>
      <c r="N365" s="2">
        <f t="shared" si="54"/>
        <v>0.49681528662420377</v>
      </c>
      <c r="O365">
        <v>14</v>
      </c>
      <c r="P365" s="2">
        <f t="shared" si="55"/>
        <v>0.53503184713375795</v>
      </c>
      <c r="Q365" t="s">
        <v>223</v>
      </c>
      <c r="R365" t="s">
        <v>156</v>
      </c>
      <c r="S365">
        <v>0</v>
      </c>
      <c r="T365" s="2">
        <f t="shared" si="56"/>
        <v>0</v>
      </c>
      <c r="U365" s="2">
        <v>0.43928320147097111</v>
      </c>
      <c r="V365" s="2">
        <f t="shared" si="57"/>
        <v>1.6787893049846032E-2</v>
      </c>
      <c r="W365" s="2">
        <v>7.60255316644907</v>
      </c>
      <c r="X365" s="2">
        <f t="shared" si="58"/>
        <v>0.29054343311270331</v>
      </c>
      <c r="Y365" s="2">
        <v>6.4305990040302277</v>
      </c>
      <c r="Z365" s="2">
        <f t="shared" si="59"/>
        <v>0.24575537595019978</v>
      </c>
      <c r="AA365">
        <v>2022</v>
      </c>
      <c r="AB365">
        <v>0</v>
      </c>
      <c r="AC365">
        <v>3000000</v>
      </c>
    </row>
    <row r="366" spans="1:29" x14ac:dyDescent="0.2">
      <c r="A366">
        <v>4882</v>
      </c>
      <c r="B366" t="s">
        <v>155</v>
      </c>
      <c r="C366">
        <v>33</v>
      </c>
      <c r="D366">
        <v>2863</v>
      </c>
      <c r="E366">
        <v>2</v>
      </c>
      <c r="F366" s="2">
        <f t="shared" si="50"/>
        <v>6.287111421585749E-2</v>
      </c>
      <c r="G366" s="2">
        <v>0.9182511237449944</v>
      </c>
      <c r="H366" s="2">
        <f t="shared" si="51"/>
        <v>2.8865735639905517E-2</v>
      </c>
      <c r="I366">
        <v>1</v>
      </c>
      <c r="J366" s="2">
        <f t="shared" si="52"/>
        <v>3.1435557107928745E-2</v>
      </c>
      <c r="K366" s="2">
        <v>2.05914737842977</v>
      </c>
      <c r="L366" s="2">
        <f t="shared" si="53"/>
        <v>6.4730445008270798E-2</v>
      </c>
      <c r="M366">
        <v>26</v>
      </c>
      <c r="N366" s="2">
        <f t="shared" si="54"/>
        <v>0.81732448480614739</v>
      </c>
      <c r="O366">
        <v>31</v>
      </c>
      <c r="P366" s="2">
        <f t="shared" si="55"/>
        <v>0.97450227034579107</v>
      </c>
      <c r="Q366" t="s">
        <v>223</v>
      </c>
      <c r="R366" t="s">
        <v>156</v>
      </c>
      <c r="S366">
        <v>2</v>
      </c>
      <c r="T366" s="2">
        <f t="shared" si="56"/>
        <v>6.287111421585749E-2</v>
      </c>
      <c r="U366" s="2">
        <v>0.9182511237449944</v>
      </c>
      <c r="V366" s="2">
        <f t="shared" si="57"/>
        <v>2.8865735639905517E-2</v>
      </c>
      <c r="W366" s="2">
        <v>10.164760626852511</v>
      </c>
      <c r="X366" s="2">
        <f t="shared" si="58"/>
        <v>0.31953491317384769</v>
      </c>
      <c r="Y366" s="2">
        <v>8.1249869521707296</v>
      </c>
      <c r="Z366" s="2">
        <f t="shared" si="59"/>
        <v>0.25541349133613889</v>
      </c>
      <c r="AA366">
        <v>2023</v>
      </c>
      <c r="AB366">
        <v>1</v>
      </c>
      <c r="AC366">
        <v>3000000</v>
      </c>
    </row>
    <row r="367" spans="1:29" x14ac:dyDescent="0.2">
      <c r="A367">
        <v>4882</v>
      </c>
      <c r="B367" t="s">
        <v>155</v>
      </c>
      <c r="C367">
        <v>12</v>
      </c>
      <c r="D367">
        <v>1044</v>
      </c>
      <c r="E367">
        <v>0</v>
      </c>
      <c r="F367" s="2">
        <f t="shared" si="50"/>
        <v>0</v>
      </c>
      <c r="G367" s="2">
        <v>0.54336774814873934</v>
      </c>
      <c r="H367" s="2">
        <f t="shared" si="51"/>
        <v>4.6842047254201664E-2</v>
      </c>
      <c r="I367">
        <v>0</v>
      </c>
      <c r="J367" s="2">
        <f t="shared" si="52"/>
        <v>0</v>
      </c>
      <c r="K367" s="2">
        <v>0.35222145915031428</v>
      </c>
      <c r="L367" s="2">
        <f t="shared" si="53"/>
        <v>3.0363918892268471E-2</v>
      </c>
      <c r="M367">
        <v>11</v>
      </c>
      <c r="N367" s="2">
        <f t="shared" si="54"/>
        <v>0.94827586206896552</v>
      </c>
      <c r="O367">
        <v>8</v>
      </c>
      <c r="P367" s="2">
        <f t="shared" si="55"/>
        <v>0.68965517241379304</v>
      </c>
      <c r="Q367" t="s">
        <v>223</v>
      </c>
      <c r="R367" t="s">
        <v>156</v>
      </c>
      <c r="S367">
        <v>0</v>
      </c>
      <c r="T367" s="2">
        <f t="shared" si="56"/>
        <v>0</v>
      </c>
      <c r="U367" s="2">
        <v>0.54336774814873934</v>
      </c>
      <c r="V367" s="2">
        <f t="shared" si="57"/>
        <v>4.6842047254201664E-2</v>
      </c>
      <c r="W367" s="2">
        <v>3.6288429386913781</v>
      </c>
      <c r="X367" s="2">
        <f t="shared" si="58"/>
        <v>0.31283128781822223</v>
      </c>
      <c r="Y367" s="2">
        <v>3.2527139410376549</v>
      </c>
      <c r="Z367" s="2">
        <f t="shared" si="59"/>
        <v>0.28040637422738401</v>
      </c>
      <c r="AA367">
        <v>2024</v>
      </c>
      <c r="AB367">
        <v>1</v>
      </c>
      <c r="AC367">
        <v>2500000</v>
      </c>
    </row>
    <row r="368" spans="1:29" x14ac:dyDescent="0.2">
      <c r="A368">
        <v>4941</v>
      </c>
      <c r="B368" t="s">
        <v>157</v>
      </c>
      <c r="C368">
        <v>22</v>
      </c>
      <c r="D368">
        <v>1769</v>
      </c>
      <c r="E368">
        <v>2</v>
      </c>
      <c r="F368" s="2">
        <f t="shared" si="50"/>
        <v>0.10175240248728094</v>
      </c>
      <c r="G368" s="2">
        <v>3.9475002223625779</v>
      </c>
      <c r="H368" s="2">
        <f t="shared" si="51"/>
        <v>0.20083381572223402</v>
      </c>
      <c r="I368">
        <v>1</v>
      </c>
      <c r="J368" s="2">
        <f t="shared" si="52"/>
        <v>5.0876201243640472E-2</v>
      </c>
      <c r="K368" s="2">
        <v>1.6636190991848709</v>
      </c>
      <c r="L368" s="2">
        <f t="shared" si="53"/>
        <v>8.4638620082893384E-2</v>
      </c>
      <c r="M368">
        <v>27</v>
      </c>
      <c r="N368" s="2">
        <f t="shared" si="54"/>
        <v>1.3736574335782927</v>
      </c>
      <c r="O368">
        <v>20</v>
      </c>
      <c r="P368" s="2">
        <f t="shared" si="55"/>
        <v>1.0175240248728095</v>
      </c>
      <c r="Q368" t="s">
        <v>223</v>
      </c>
      <c r="R368" t="s">
        <v>93</v>
      </c>
      <c r="S368">
        <v>2</v>
      </c>
      <c r="T368" s="2">
        <f t="shared" si="56"/>
        <v>0.10175240248728094</v>
      </c>
      <c r="U368" s="2">
        <v>3.9475002223625779</v>
      </c>
      <c r="V368" s="2">
        <f t="shared" si="57"/>
        <v>0.20083381572223402</v>
      </c>
      <c r="W368" s="2">
        <v>16.0897221788764</v>
      </c>
      <c r="X368" s="2">
        <f t="shared" si="58"/>
        <v>0.81858394352678121</v>
      </c>
      <c r="Y368" s="2">
        <v>11.722097210586069</v>
      </c>
      <c r="Z368" s="2">
        <f t="shared" si="59"/>
        <v>0.59637577668329345</v>
      </c>
      <c r="AA368">
        <v>2020</v>
      </c>
      <c r="AB368">
        <v>0</v>
      </c>
      <c r="AC368">
        <v>18000000</v>
      </c>
    </row>
    <row r="369" spans="1:29" x14ac:dyDescent="0.2">
      <c r="A369">
        <v>4941</v>
      </c>
      <c r="B369" t="s">
        <v>157</v>
      </c>
      <c r="C369">
        <v>21</v>
      </c>
      <c r="D369">
        <v>1398</v>
      </c>
      <c r="E369">
        <v>0</v>
      </c>
      <c r="F369" s="2">
        <f t="shared" si="50"/>
        <v>0</v>
      </c>
      <c r="G369" s="2">
        <v>1.8160647405311461</v>
      </c>
      <c r="H369" s="2">
        <f t="shared" si="51"/>
        <v>0.11691403908998795</v>
      </c>
      <c r="I369">
        <v>0</v>
      </c>
      <c r="J369" s="2">
        <f t="shared" si="52"/>
        <v>0</v>
      </c>
      <c r="K369" s="2">
        <v>0.9317462146282196</v>
      </c>
      <c r="L369" s="2">
        <f t="shared" si="53"/>
        <v>5.998366188593688E-2</v>
      </c>
      <c r="M369">
        <v>17</v>
      </c>
      <c r="N369" s="2">
        <f t="shared" si="54"/>
        <v>1.094420600858369</v>
      </c>
      <c r="O369">
        <v>13</v>
      </c>
      <c r="P369" s="2">
        <f t="shared" si="55"/>
        <v>0.83690987124463523</v>
      </c>
      <c r="Q369" t="s">
        <v>223</v>
      </c>
      <c r="R369" t="s">
        <v>93</v>
      </c>
      <c r="S369">
        <v>0</v>
      </c>
      <c r="T369" s="2">
        <f t="shared" si="56"/>
        <v>0</v>
      </c>
      <c r="U369" s="2">
        <v>1.8160647405311461</v>
      </c>
      <c r="V369" s="2">
        <f t="shared" si="57"/>
        <v>0.11691403908998795</v>
      </c>
      <c r="W369" s="2">
        <v>6.6851221807301036</v>
      </c>
      <c r="X369" s="2">
        <f t="shared" si="58"/>
        <v>0.43037267257919121</v>
      </c>
      <c r="Y369" s="2">
        <v>5.302837373688817</v>
      </c>
      <c r="Z369" s="2">
        <f t="shared" si="59"/>
        <v>0.34138438028039597</v>
      </c>
      <c r="AA369">
        <v>2021</v>
      </c>
      <c r="AB369">
        <v>0</v>
      </c>
      <c r="AC369">
        <v>13000000</v>
      </c>
    </row>
    <row r="370" spans="1:29" x14ac:dyDescent="0.2">
      <c r="A370">
        <v>4941</v>
      </c>
      <c r="B370" t="s">
        <v>157</v>
      </c>
      <c r="C370">
        <v>17</v>
      </c>
      <c r="D370">
        <v>1411</v>
      </c>
      <c r="E370">
        <v>1</v>
      </c>
      <c r="F370" s="2">
        <f t="shared" si="50"/>
        <v>6.3784549964564147E-2</v>
      </c>
      <c r="G370" s="2">
        <v>1.9936813805252309</v>
      </c>
      <c r="H370" s="2">
        <f t="shared" si="51"/>
        <v>0.12716606962953281</v>
      </c>
      <c r="I370">
        <v>1</v>
      </c>
      <c r="J370" s="2">
        <f t="shared" si="52"/>
        <v>6.3784549964564147E-2</v>
      </c>
      <c r="K370" s="2">
        <v>1.661960014142096</v>
      </c>
      <c r="L370" s="2">
        <f t="shared" si="53"/>
        <v>0.10600737156115425</v>
      </c>
      <c r="M370">
        <v>13</v>
      </c>
      <c r="N370" s="2">
        <f t="shared" si="54"/>
        <v>0.82919914953933382</v>
      </c>
      <c r="O370">
        <v>13</v>
      </c>
      <c r="P370" s="2">
        <f t="shared" si="55"/>
        <v>0.82919914953933382</v>
      </c>
      <c r="Q370" t="s">
        <v>223</v>
      </c>
      <c r="R370" t="s">
        <v>93</v>
      </c>
      <c r="S370">
        <v>1</v>
      </c>
      <c r="T370" s="2">
        <f t="shared" si="56"/>
        <v>6.3784549964564147E-2</v>
      </c>
      <c r="U370" s="2">
        <v>1.9936813805252309</v>
      </c>
      <c r="V370" s="2">
        <f t="shared" si="57"/>
        <v>0.12716606962953281</v>
      </c>
      <c r="W370" s="2">
        <v>6.9373202566057444</v>
      </c>
      <c r="X370" s="2">
        <f t="shared" si="58"/>
        <v>0.442493850527652</v>
      </c>
      <c r="Y370" s="2">
        <v>4.2544990014284849</v>
      </c>
      <c r="Z370" s="2">
        <f t="shared" si="59"/>
        <v>0.2713713041308034</v>
      </c>
      <c r="AA370">
        <v>2022</v>
      </c>
      <c r="AB370">
        <v>1</v>
      </c>
      <c r="AC370">
        <v>6000000</v>
      </c>
    </row>
    <row r="371" spans="1:29" x14ac:dyDescent="0.2">
      <c r="A371">
        <v>4941</v>
      </c>
      <c r="B371" t="s">
        <v>157</v>
      </c>
      <c r="C371">
        <v>23</v>
      </c>
      <c r="D371">
        <v>1094</v>
      </c>
      <c r="E371">
        <v>0</v>
      </c>
      <c r="F371" s="2">
        <f t="shared" si="50"/>
        <v>0</v>
      </c>
      <c r="G371" s="2">
        <v>0.32923717424273491</v>
      </c>
      <c r="H371" s="2">
        <f t="shared" si="51"/>
        <v>2.7085325120517496E-2</v>
      </c>
      <c r="I371">
        <v>1</v>
      </c>
      <c r="J371" s="2">
        <f t="shared" si="52"/>
        <v>8.226691042047532E-2</v>
      </c>
      <c r="K371" s="2">
        <v>2.4460225384682421</v>
      </c>
      <c r="L371" s="2">
        <f t="shared" si="53"/>
        <v>0.20122671705863054</v>
      </c>
      <c r="M371">
        <v>11</v>
      </c>
      <c r="N371" s="2">
        <f t="shared" si="54"/>
        <v>0.90493601462522855</v>
      </c>
      <c r="O371">
        <v>22</v>
      </c>
      <c r="P371" s="2">
        <f t="shared" si="55"/>
        <v>1.8098720292504571</v>
      </c>
      <c r="Q371" t="s">
        <v>223</v>
      </c>
      <c r="R371" t="s">
        <v>93</v>
      </c>
      <c r="S371">
        <v>0</v>
      </c>
      <c r="T371" s="2">
        <f t="shared" si="56"/>
        <v>0</v>
      </c>
      <c r="U371" s="2">
        <v>0.32923717424273491</v>
      </c>
      <c r="V371" s="2">
        <f t="shared" si="57"/>
        <v>2.7085325120517496E-2</v>
      </c>
      <c r="W371" s="2">
        <v>5.4535220414400101</v>
      </c>
      <c r="X371" s="2">
        <f t="shared" si="58"/>
        <v>0.44864440925923299</v>
      </c>
      <c r="Y371" s="2">
        <v>4.4654220603406429</v>
      </c>
      <c r="Z371" s="2">
        <f t="shared" si="59"/>
        <v>0.36735647662765802</v>
      </c>
      <c r="AA371">
        <v>2023</v>
      </c>
      <c r="AB371">
        <v>1</v>
      </c>
      <c r="AC371">
        <v>3500000</v>
      </c>
    </row>
    <row r="372" spans="1:29" x14ac:dyDescent="0.2">
      <c r="A372">
        <v>5169</v>
      </c>
      <c r="B372" t="s">
        <v>158</v>
      </c>
      <c r="C372">
        <v>18</v>
      </c>
      <c r="D372">
        <v>1380</v>
      </c>
      <c r="E372">
        <v>4</v>
      </c>
      <c r="F372" s="2">
        <f t="shared" si="50"/>
        <v>0.2608695652173913</v>
      </c>
      <c r="G372" s="2">
        <v>4.5103408992290497</v>
      </c>
      <c r="H372" s="2">
        <f t="shared" si="51"/>
        <v>0.29415266734102496</v>
      </c>
      <c r="I372">
        <v>2</v>
      </c>
      <c r="J372" s="2">
        <f t="shared" si="52"/>
        <v>0.13043478260869565</v>
      </c>
      <c r="K372" s="2">
        <v>0.623810607008636</v>
      </c>
      <c r="L372" s="2">
        <f t="shared" si="53"/>
        <v>4.0683300457084952E-2</v>
      </c>
      <c r="M372">
        <v>40</v>
      </c>
      <c r="N372" s="2">
        <f t="shared" si="54"/>
        <v>2.6086956521739131</v>
      </c>
      <c r="O372">
        <v>8</v>
      </c>
      <c r="P372" s="2">
        <f t="shared" si="55"/>
        <v>0.52173913043478259</v>
      </c>
      <c r="Q372" t="s">
        <v>222</v>
      </c>
      <c r="R372" t="s">
        <v>159</v>
      </c>
      <c r="S372">
        <v>4</v>
      </c>
      <c r="T372" s="2">
        <f t="shared" si="56"/>
        <v>0.2608695652173913</v>
      </c>
      <c r="U372" s="2">
        <v>4.5103408992290497</v>
      </c>
      <c r="V372" s="2">
        <f t="shared" si="57"/>
        <v>0.29415266734102496</v>
      </c>
      <c r="W372" s="2">
        <v>5.4599413499236107</v>
      </c>
      <c r="X372" s="2">
        <f t="shared" si="58"/>
        <v>0.35608313151675725</v>
      </c>
      <c r="Y372" s="2">
        <v>1.0095215924084191</v>
      </c>
      <c r="Z372" s="2">
        <f t="shared" si="59"/>
        <v>6.5838364722288198E-2</v>
      </c>
      <c r="AA372">
        <v>2019</v>
      </c>
      <c r="AB372">
        <v>0</v>
      </c>
      <c r="AC372">
        <v>12000000</v>
      </c>
    </row>
    <row r="373" spans="1:29" x14ac:dyDescent="0.2">
      <c r="A373">
        <v>5169</v>
      </c>
      <c r="B373" t="s">
        <v>158</v>
      </c>
      <c r="C373">
        <v>18</v>
      </c>
      <c r="D373">
        <v>775</v>
      </c>
      <c r="E373">
        <v>4</v>
      </c>
      <c r="F373" s="2">
        <f t="shared" si="50"/>
        <v>0.46451612903225808</v>
      </c>
      <c r="G373" s="2">
        <v>2.9692395329475398</v>
      </c>
      <c r="H373" s="2">
        <f t="shared" si="51"/>
        <v>0.34481491350358529</v>
      </c>
      <c r="I373">
        <v>0</v>
      </c>
      <c r="J373" s="2">
        <f t="shared" si="52"/>
        <v>0</v>
      </c>
      <c r="K373" s="2">
        <v>9.6494300290942206E-2</v>
      </c>
      <c r="L373" s="2">
        <f t="shared" si="53"/>
        <v>1.120578971120619E-2</v>
      </c>
      <c r="M373">
        <v>21</v>
      </c>
      <c r="N373" s="2">
        <f t="shared" si="54"/>
        <v>2.4387096774193546</v>
      </c>
      <c r="O373">
        <v>3</v>
      </c>
      <c r="P373" s="2">
        <f t="shared" si="55"/>
        <v>0.34838709677419355</v>
      </c>
      <c r="Q373" t="s">
        <v>222</v>
      </c>
      <c r="R373" t="s">
        <v>74</v>
      </c>
      <c r="S373">
        <v>4</v>
      </c>
      <c r="T373" s="2">
        <f t="shared" si="56"/>
        <v>0.46451612903225808</v>
      </c>
      <c r="U373" s="2">
        <v>2.9692395329475398</v>
      </c>
      <c r="V373" s="2">
        <f t="shared" si="57"/>
        <v>0.34481491350358529</v>
      </c>
      <c r="W373" s="2">
        <v>2.6334909740835428</v>
      </c>
      <c r="X373" s="2">
        <f t="shared" si="58"/>
        <v>0.30582475828066946</v>
      </c>
      <c r="Y373" s="2">
        <v>0.2262002974748612</v>
      </c>
      <c r="Z373" s="2">
        <f t="shared" si="59"/>
        <v>2.6268421642241944E-2</v>
      </c>
      <c r="AA373">
        <v>2019</v>
      </c>
      <c r="AB373">
        <v>0</v>
      </c>
      <c r="AC373">
        <v>15000000</v>
      </c>
    </row>
    <row r="374" spans="1:29" x14ac:dyDescent="0.2">
      <c r="A374">
        <v>5169</v>
      </c>
      <c r="B374" t="s">
        <v>158</v>
      </c>
      <c r="C374">
        <v>38</v>
      </c>
      <c r="D374">
        <v>2308</v>
      </c>
      <c r="E374">
        <v>18</v>
      </c>
      <c r="F374" s="2">
        <f t="shared" si="50"/>
        <v>0.70190641247833618</v>
      </c>
      <c r="G374" s="2">
        <v>15.794802559539679</v>
      </c>
      <c r="H374" s="2">
        <f t="shared" si="51"/>
        <v>0.61591517779834104</v>
      </c>
      <c r="I374">
        <v>0</v>
      </c>
      <c r="J374" s="2">
        <f t="shared" si="52"/>
        <v>0</v>
      </c>
      <c r="K374" s="2">
        <v>2.642064044252038</v>
      </c>
      <c r="L374" s="2">
        <f t="shared" si="53"/>
        <v>0.10302676082438623</v>
      </c>
      <c r="M374">
        <v>77</v>
      </c>
      <c r="N374" s="2">
        <f t="shared" si="54"/>
        <v>3.0025996533795496</v>
      </c>
      <c r="O374">
        <v>13</v>
      </c>
      <c r="P374" s="2">
        <f t="shared" si="55"/>
        <v>0.50693240901213177</v>
      </c>
      <c r="Q374" t="s">
        <v>222</v>
      </c>
      <c r="R374" t="s">
        <v>74</v>
      </c>
      <c r="S374">
        <v>18</v>
      </c>
      <c r="T374" s="2">
        <f t="shared" si="56"/>
        <v>0.70190641247833618</v>
      </c>
      <c r="U374" s="2">
        <v>15.794802559539679</v>
      </c>
      <c r="V374" s="2">
        <f t="shared" si="57"/>
        <v>0.61591517779834104</v>
      </c>
      <c r="W374" s="2">
        <v>17.816114058718089</v>
      </c>
      <c r="X374" s="2">
        <f t="shared" si="58"/>
        <v>0.69473581684775909</v>
      </c>
      <c r="Y374" s="2">
        <v>1.0870533157140021</v>
      </c>
      <c r="Z374" s="2">
        <f t="shared" si="59"/>
        <v>4.2389427389194191E-2</v>
      </c>
      <c r="AA374">
        <v>2020</v>
      </c>
      <c r="AB374">
        <v>0</v>
      </c>
      <c r="AC374">
        <v>40000000</v>
      </c>
    </row>
    <row r="375" spans="1:29" x14ac:dyDescent="0.2">
      <c r="A375">
        <v>5169</v>
      </c>
      <c r="B375" t="s">
        <v>158</v>
      </c>
      <c r="C375">
        <v>23</v>
      </c>
      <c r="D375">
        <v>1305</v>
      </c>
      <c r="E375">
        <v>5</v>
      </c>
      <c r="F375" s="2">
        <f t="shared" si="50"/>
        <v>0.34482758620689652</v>
      </c>
      <c r="G375" s="2">
        <v>6.8180693350732327</v>
      </c>
      <c r="H375" s="2">
        <f t="shared" si="51"/>
        <v>0.47021167828091259</v>
      </c>
      <c r="I375">
        <v>1</v>
      </c>
      <c r="J375" s="2">
        <f t="shared" si="52"/>
        <v>6.8965517241379309E-2</v>
      </c>
      <c r="K375" s="2">
        <v>1.174613112583756</v>
      </c>
      <c r="L375" s="2">
        <f t="shared" si="53"/>
        <v>8.1007800867845245E-2</v>
      </c>
      <c r="M375">
        <v>37</v>
      </c>
      <c r="N375" s="2">
        <f t="shared" si="54"/>
        <v>2.5517241379310343</v>
      </c>
      <c r="O375">
        <v>6</v>
      </c>
      <c r="P375" s="2">
        <f t="shared" si="55"/>
        <v>0.41379310344827586</v>
      </c>
      <c r="Q375" t="s">
        <v>222</v>
      </c>
      <c r="R375" t="s">
        <v>74</v>
      </c>
      <c r="S375">
        <v>4</v>
      </c>
      <c r="T375" s="2">
        <f t="shared" si="56"/>
        <v>0.27586206896551724</v>
      </c>
      <c r="U375" s="2">
        <v>6.0747923217713833</v>
      </c>
      <c r="V375" s="2">
        <f t="shared" si="57"/>
        <v>0.41895119460492297</v>
      </c>
      <c r="W375" s="2">
        <v>8.2661466486752033</v>
      </c>
      <c r="X375" s="2">
        <f t="shared" si="58"/>
        <v>0.5700790792189796</v>
      </c>
      <c r="Y375" s="2">
        <v>2.8749556317925449</v>
      </c>
      <c r="Z375" s="2">
        <f t="shared" si="59"/>
        <v>0.1982728021925893</v>
      </c>
      <c r="AA375">
        <v>2021</v>
      </c>
      <c r="AB375">
        <v>1</v>
      </c>
      <c r="AC375">
        <v>25000000</v>
      </c>
    </row>
    <row r="376" spans="1:29" x14ac:dyDescent="0.2">
      <c r="A376">
        <v>5169</v>
      </c>
      <c r="B376" t="s">
        <v>158</v>
      </c>
      <c r="C376">
        <v>31</v>
      </c>
      <c r="D376">
        <v>1642</v>
      </c>
      <c r="E376">
        <v>8</v>
      </c>
      <c r="F376" s="2">
        <f t="shared" si="50"/>
        <v>0.43848964677222896</v>
      </c>
      <c r="G376" s="2">
        <v>9.0212876014411432</v>
      </c>
      <c r="H376" s="2">
        <f t="shared" si="51"/>
        <v>0.49446765172332696</v>
      </c>
      <c r="I376">
        <v>1</v>
      </c>
      <c r="J376" s="2">
        <f t="shared" si="52"/>
        <v>5.481120584652862E-2</v>
      </c>
      <c r="K376" s="2">
        <v>1.5004541031084959</v>
      </c>
      <c r="L376" s="2">
        <f t="shared" si="53"/>
        <v>8.2241698708748256E-2</v>
      </c>
      <c r="M376">
        <v>59</v>
      </c>
      <c r="N376" s="2">
        <f t="shared" si="54"/>
        <v>3.2338611449451888</v>
      </c>
      <c r="O376">
        <v>10</v>
      </c>
      <c r="P376" s="2">
        <f t="shared" si="55"/>
        <v>0.54811205846528621</v>
      </c>
      <c r="Q376" t="s">
        <v>222</v>
      </c>
      <c r="R376" t="s">
        <v>74</v>
      </c>
      <c r="S376">
        <v>8</v>
      </c>
      <c r="T376" s="2">
        <f t="shared" si="56"/>
        <v>0.43848964677222896</v>
      </c>
      <c r="U376" s="2">
        <v>9.0212876014411432</v>
      </c>
      <c r="V376" s="2">
        <f t="shared" si="57"/>
        <v>0.49446765172332696</v>
      </c>
      <c r="W376" s="2">
        <v>10.731832148507239</v>
      </c>
      <c r="X376" s="2">
        <f t="shared" si="58"/>
        <v>0.58822466100222381</v>
      </c>
      <c r="Y376" s="2">
        <v>1.5815792866051199</v>
      </c>
      <c r="Z376" s="2">
        <f t="shared" si="59"/>
        <v>8.6688267840719119E-2</v>
      </c>
      <c r="AA376">
        <v>2022</v>
      </c>
      <c r="AB376">
        <v>1</v>
      </c>
      <c r="AC376">
        <v>20000000</v>
      </c>
    </row>
    <row r="377" spans="1:29" x14ac:dyDescent="0.2">
      <c r="A377">
        <v>5197</v>
      </c>
      <c r="B377" t="s">
        <v>160</v>
      </c>
      <c r="C377">
        <v>32</v>
      </c>
      <c r="D377">
        <v>2488</v>
      </c>
      <c r="E377">
        <v>4</v>
      </c>
      <c r="F377" s="2">
        <f t="shared" si="50"/>
        <v>0.14469453376205788</v>
      </c>
      <c r="G377" s="2">
        <v>2.7165765352547169</v>
      </c>
      <c r="H377" s="2">
        <f t="shared" si="51"/>
        <v>9.8268443799406954E-2</v>
      </c>
      <c r="I377">
        <v>6</v>
      </c>
      <c r="J377" s="2">
        <f t="shared" si="52"/>
        <v>0.21704180064308684</v>
      </c>
      <c r="K377" s="2">
        <v>5.3688049931079149</v>
      </c>
      <c r="L377" s="2">
        <f t="shared" si="53"/>
        <v>0.19420918383428951</v>
      </c>
      <c r="M377">
        <v>20</v>
      </c>
      <c r="N377" s="2">
        <f t="shared" si="54"/>
        <v>0.72347266881028938</v>
      </c>
      <c r="O377">
        <v>31</v>
      </c>
      <c r="P377" s="2">
        <f t="shared" si="55"/>
        <v>1.1213826366559485</v>
      </c>
      <c r="Q377" t="s">
        <v>224</v>
      </c>
      <c r="R377" t="s">
        <v>132</v>
      </c>
      <c r="S377">
        <v>4</v>
      </c>
      <c r="T377" s="2">
        <f t="shared" si="56"/>
        <v>0.14469453376205788</v>
      </c>
      <c r="U377" s="2">
        <v>2.7165765352547169</v>
      </c>
      <c r="V377" s="2">
        <f t="shared" si="57"/>
        <v>9.8268443799406954E-2</v>
      </c>
      <c r="W377" s="2">
        <v>15.75460225343704</v>
      </c>
      <c r="X377" s="2">
        <f t="shared" si="58"/>
        <v>0.56990120691693469</v>
      </c>
      <c r="Y377" s="2">
        <v>10.137298302724959</v>
      </c>
      <c r="Z377" s="2">
        <f t="shared" si="59"/>
        <v>0.36670291287992213</v>
      </c>
      <c r="AA377">
        <v>2021</v>
      </c>
      <c r="AB377">
        <v>0</v>
      </c>
      <c r="AC377">
        <v>65000000</v>
      </c>
    </row>
    <row r="378" spans="1:29" x14ac:dyDescent="0.2">
      <c r="A378">
        <v>5197</v>
      </c>
      <c r="B378" t="s">
        <v>160</v>
      </c>
      <c r="C378">
        <v>28</v>
      </c>
      <c r="D378">
        <v>2049</v>
      </c>
      <c r="E378">
        <v>5</v>
      </c>
      <c r="F378" s="2">
        <f t="shared" si="50"/>
        <v>0.21961932650073207</v>
      </c>
      <c r="G378" s="2">
        <v>3.2364074941724539</v>
      </c>
      <c r="H378" s="2">
        <f t="shared" si="51"/>
        <v>0.14215552683041524</v>
      </c>
      <c r="I378">
        <v>3</v>
      </c>
      <c r="J378" s="2">
        <f t="shared" si="52"/>
        <v>0.13177159590043924</v>
      </c>
      <c r="K378" s="2">
        <v>3.6853933054953818</v>
      </c>
      <c r="L378" s="2">
        <f t="shared" si="53"/>
        <v>0.16187671912864049</v>
      </c>
      <c r="M378">
        <v>18</v>
      </c>
      <c r="N378" s="2">
        <f t="shared" si="54"/>
        <v>0.79062957540263545</v>
      </c>
      <c r="O378">
        <v>33</v>
      </c>
      <c r="P378" s="2">
        <f t="shared" si="55"/>
        <v>1.4494875549048316</v>
      </c>
      <c r="Q378" t="s">
        <v>224</v>
      </c>
      <c r="R378" t="s">
        <v>132</v>
      </c>
      <c r="S378">
        <v>5</v>
      </c>
      <c r="T378" s="2">
        <f t="shared" si="56"/>
        <v>0.21961932650073207</v>
      </c>
      <c r="U378" s="2">
        <v>3.2364074941724539</v>
      </c>
      <c r="V378" s="2">
        <f t="shared" si="57"/>
        <v>0.14215552683041524</v>
      </c>
      <c r="W378" s="2">
        <v>19.65187843888998</v>
      </c>
      <c r="X378" s="2">
        <f t="shared" si="58"/>
        <v>0.86318646144465505</v>
      </c>
      <c r="Y378" s="2">
        <v>14.637294866144661</v>
      </c>
      <c r="Z378" s="2">
        <f t="shared" si="59"/>
        <v>0.64292656805906268</v>
      </c>
      <c r="AA378">
        <v>2022</v>
      </c>
      <c r="AB378">
        <v>0</v>
      </c>
      <c r="AC378">
        <v>65000000</v>
      </c>
    </row>
    <row r="379" spans="1:29" x14ac:dyDescent="0.2">
      <c r="A379">
        <v>5197</v>
      </c>
      <c r="B379" t="s">
        <v>160</v>
      </c>
      <c r="C379">
        <v>25</v>
      </c>
      <c r="D379">
        <v>1933</v>
      </c>
      <c r="E379">
        <v>4</v>
      </c>
      <c r="F379" s="2">
        <f t="shared" si="50"/>
        <v>0.18623900672529747</v>
      </c>
      <c r="G379" s="2">
        <v>3.993414338678122</v>
      </c>
      <c r="H379" s="2">
        <f t="shared" si="51"/>
        <v>0.18593237996949349</v>
      </c>
      <c r="I379">
        <v>5</v>
      </c>
      <c r="J379" s="2">
        <f t="shared" si="52"/>
        <v>0.23279875840662181</v>
      </c>
      <c r="K379" s="2">
        <v>5.5826104152947664</v>
      </c>
      <c r="L379" s="2">
        <f t="shared" si="53"/>
        <v>0.25992495466969945</v>
      </c>
      <c r="M379">
        <v>42</v>
      </c>
      <c r="N379" s="2">
        <f t="shared" si="54"/>
        <v>1.9555095706156234</v>
      </c>
      <c r="O379">
        <v>43</v>
      </c>
      <c r="P379" s="2">
        <f t="shared" si="55"/>
        <v>2.0020693222969479</v>
      </c>
      <c r="Q379" t="s">
        <v>224</v>
      </c>
      <c r="R379" t="s">
        <v>132</v>
      </c>
      <c r="S379">
        <v>4</v>
      </c>
      <c r="T379" s="2">
        <f t="shared" si="56"/>
        <v>0.18623900672529747</v>
      </c>
      <c r="U379" s="2">
        <v>3.993414338678122</v>
      </c>
      <c r="V379" s="2">
        <f t="shared" si="57"/>
        <v>0.18593237996949349</v>
      </c>
      <c r="W379" s="2">
        <v>17.540421098470691</v>
      </c>
      <c r="X379" s="2">
        <f t="shared" si="58"/>
        <v>0.81667765073065823</v>
      </c>
      <c r="Y379" s="2">
        <v>11.59443087130785</v>
      </c>
      <c r="Z379" s="2">
        <f t="shared" si="59"/>
        <v>0.53983382225437482</v>
      </c>
      <c r="AA379">
        <v>2023</v>
      </c>
      <c r="AB379">
        <v>1</v>
      </c>
      <c r="AC379">
        <v>60000000</v>
      </c>
    </row>
    <row r="380" spans="1:29" x14ac:dyDescent="0.2">
      <c r="A380">
        <v>5197</v>
      </c>
      <c r="B380" t="s">
        <v>160</v>
      </c>
      <c r="C380">
        <v>25</v>
      </c>
      <c r="D380">
        <v>2078</v>
      </c>
      <c r="E380">
        <v>4</v>
      </c>
      <c r="F380" s="2">
        <f t="shared" si="50"/>
        <v>0.17324350336862368</v>
      </c>
      <c r="G380" s="2">
        <v>4.1605727029964328</v>
      </c>
      <c r="H380" s="2">
        <f t="shared" si="51"/>
        <v>0.18019804777174156</v>
      </c>
      <c r="I380">
        <v>6</v>
      </c>
      <c r="J380" s="2">
        <f t="shared" si="52"/>
        <v>0.25986525505293551</v>
      </c>
      <c r="K380" s="2">
        <v>7.4635682180523872</v>
      </c>
      <c r="L380" s="2">
        <f t="shared" si="53"/>
        <v>0.32325367643152786</v>
      </c>
      <c r="M380">
        <v>32</v>
      </c>
      <c r="N380" s="2">
        <f t="shared" si="54"/>
        <v>1.3859480269489894</v>
      </c>
      <c r="O380">
        <v>51</v>
      </c>
      <c r="P380" s="2">
        <f t="shared" si="55"/>
        <v>2.2088546679499519</v>
      </c>
      <c r="Q380" t="s">
        <v>224</v>
      </c>
      <c r="R380" t="s">
        <v>132</v>
      </c>
      <c r="S380">
        <v>4</v>
      </c>
      <c r="T380" s="2">
        <f t="shared" si="56"/>
        <v>0.17324350336862368</v>
      </c>
      <c r="U380" s="2">
        <v>4.1605727029964328</v>
      </c>
      <c r="V380" s="2">
        <f t="shared" si="57"/>
        <v>0.18019804777174156</v>
      </c>
      <c r="W380" s="2">
        <v>26.464711084961891</v>
      </c>
      <c r="X380" s="2">
        <f t="shared" si="58"/>
        <v>1.1462098159993119</v>
      </c>
      <c r="Y380" s="2">
        <v>20.62244639731944</v>
      </c>
      <c r="Z380" s="2">
        <f t="shared" si="59"/>
        <v>0.89317621547581794</v>
      </c>
      <c r="AA380">
        <v>2024</v>
      </c>
      <c r="AB380">
        <v>1</v>
      </c>
      <c r="AC380">
        <v>80000000</v>
      </c>
    </row>
    <row r="381" spans="1:29" x14ac:dyDescent="0.2">
      <c r="A381">
        <v>5221</v>
      </c>
      <c r="B381" t="s">
        <v>161</v>
      </c>
      <c r="C381">
        <v>18</v>
      </c>
      <c r="D381">
        <v>723</v>
      </c>
      <c r="E381">
        <v>1</v>
      </c>
      <c r="F381" s="2">
        <f t="shared" si="50"/>
        <v>0.12448132780082988</v>
      </c>
      <c r="G381" s="2">
        <v>1.4925615042448039</v>
      </c>
      <c r="H381" s="2">
        <f t="shared" si="51"/>
        <v>0.18579603787279717</v>
      </c>
      <c r="I381">
        <v>2</v>
      </c>
      <c r="J381" s="2">
        <f t="shared" si="52"/>
        <v>0.24896265560165975</v>
      </c>
      <c r="K381" s="2">
        <v>0.67738030478358269</v>
      </c>
      <c r="L381" s="2">
        <f t="shared" si="53"/>
        <v>8.4321199765591201E-2</v>
      </c>
      <c r="M381">
        <v>21</v>
      </c>
      <c r="N381" s="2">
        <f t="shared" si="54"/>
        <v>2.6141078838174274</v>
      </c>
      <c r="O381">
        <v>7</v>
      </c>
      <c r="P381" s="2">
        <f t="shared" si="55"/>
        <v>0.87136929460580914</v>
      </c>
      <c r="Q381" t="s">
        <v>222</v>
      </c>
      <c r="R381" t="s">
        <v>126</v>
      </c>
      <c r="S381">
        <v>1</v>
      </c>
      <c r="T381" s="2">
        <f t="shared" si="56"/>
        <v>0.12448132780082988</v>
      </c>
      <c r="U381" s="2">
        <v>1.4925615042448039</v>
      </c>
      <c r="V381" s="2">
        <f t="shared" si="57"/>
        <v>0.18579603787279717</v>
      </c>
      <c r="W381" s="2">
        <v>2.510905209928751</v>
      </c>
      <c r="X381" s="2">
        <f t="shared" si="58"/>
        <v>0.3125608145139524</v>
      </c>
      <c r="Y381" s="2">
        <v>0.6678759902715683</v>
      </c>
      <c r="Z381" s="2">
        <f t="shared" si="59"/>
        <v>8.3138090075298959E-2</v>
      </c>
      <c r="AA381">
        <v>2021</v>
      </c>
      <c r="AB381">
        <v>0</v>
      </c>
      <c r="AC381">
        <v>25000000</v>
      </c>
    </row>
    <row r="382" spans="1:29" x14ac:dyDescent="0.2">
      <c r="A382">
        <v>5221</v>
      </c>
      <c r="B382" t="s">
        <v>161</v>
      </c>
      <c r="C382">
        <v>33</v>
      </c>
      <c r="D382">
        <v>2031</v>
      </c>
      <c r="E382">
        <v>4</v>
      </c>
      <c r="F382" s="2">
        <f t="shared" si="50"/>
        <v>0.1772525849335303</v>
      </c>
      <c r="G382" s="2">
        <v>4.7784119471907616</v>
      </c>
      <c r="H382" s="2">
        <f t="shared" si="51"/>
        <v>0.21174646737920658</v>
      </c>
      <c r="I382">
        <v>4</v>
      </c>
      <c r="J382" s="2">
        <f t="shared" si="52"/>
        <v>0.1772525849335303</v>
      </c>
      <c r="K382" s="2">
        <v>5.5339578883722416</v>
      </c>
      <c r="L382" s="2">
        <f t="shared" si="53"/>
        <v>0.24522708515682018</v>
      </c>
      <c r="M382">
        <v>51</v>
      </c>
      <c r="N382" s="2">
        <f t="shared" si="54"/>
        <v>2.2599704579025111</v>
      </c>
      <c r="O382">
        <v>30</v>
      </c>
      <c r="P382" s="2">
        <f t="shared" si="55"/>
        <v>1.3293943870014771</v>
      </c>
      <c r="Q382" t="s">
        <v>222</v>
      </c>
      <c r="R382" t="s">
        <v>126</v>
      </c>
      <c r="S382">
        <v>4</v>
      </c>
      <c r="T382" s="2">
        <f t="shared" si="56"/>
        <v>0.1772525849335303</v>
      </c>
      <c r="U382" s="2">
        <v>4.7784119471907616</v>
      </c>
      <c r="V382" s="2">
        <f t="shared" si="57"/>
        <v>0.21174646737920658</v>
      </c>
      <c r="W382" s="2">
        <v>13.001362528651949</v>
      </c>
      <c r="X382" s="2">
        <f t="shared" si="58"/>
        <v>0.57613127896537442</v>
      </c>
      <c r="Y382" s="2">
        <v>3.5788454040884972</v>
      </c>
      <c r="Z382" s="2">
        <f t="shared" si="59"/>
        <v>0.15858989973804272</v>
      </c>
      <c r="AA382">
        <v>2022</v>
      </c>
      <c r="AB382">
        <v>0</v>
      </c>
      <c r="AC382">
        <v>28000000</v>
      </c>
    </row>
    <row r="383" spans="1:29" x14ac:dyDescent="0.2">
      <c r="A383">
        <v>5221</v>
      </c>
      <c r="B383" t="s">
        <v>161</v>
      </c>
      <c r="C383">
        <v>35</v>
      </c>
      <c r="D383">
        <v>2112</v>
      </c>
      <c r="E383">
        <v>10</v>
      </c>
      <c r="F383" s="2">
        <f t="shared" si="50"/>
        <v>0.42613636363636365</v>
      </c>
      <c r="G383" s="2">
        <v>6.4655649326741704</v>
      </c>
      <c r="H383" s="2">
        <f t="shared" si="51"/>
        <v>0.27552123292645614</v>
      </c>
      <c r="I383">
        <v>9</v>
      </c>
      <c r="J383" s="2">
        <f t="shared" si="52"/>
        <v>0.38352272727272724</v>
      </c>
      <c r="K383" s="2">
        <v>10.299157902598379</v>
      </c>
      <c r="L383" s="2">
        <f t="shared" si="53"/>
        <v>0.43888456971299911</v>
      </c>
      <c r="M383">
        <v>53</v>
      </c>
      <c r="N383" s="2">
        <f t="shared" si="54"/>
        <v>2.2585227272727271</v>
      </c>
      <c r="O383">
        <v>51</v>
      </c>
      <c r="P383" s="2">
        <f t="shared" si="55"/>
        <v>2.1732954545454546</v>
      </c>
      <c r="Q383" t="s">
        <v>222</v>
      </c>
      <c r="R383" t="s">
        <v>126</v>
      </c>
      <c r="S383">
        <v>10</v>
      </c>
      <c r="T383" s="2">
        <f t="shared" si="56"/>
        <v>0.42613636363636365</v>
      </c>
      <c r="U383" s="2">
        <v>6.4655649326741704</v>
      </c>
      <c r="V383" s="2">
        <f t="shared" si="57"/>
        <v>0.27552123292645614</v>
      </c>
      <c r="W383" s="2">
        <v>17.989742238074541</v>
      </c>
      <c r="X383" s="2">
        <f t="shared" si="58"/>
        <v>0.76660833400885831</v>
      </c>
      <c r="Y383" s="2">
        <v>6.6713723912835121</v>
      </c>
      <c r="Z383" s="2">
        <f t="shared" si="59"/>
        <v>0.28429143712855875</v>
      </c>
      <c r="AA383">
        <v>2023</v>
      </c>
      <c r="AB383">
        <v>1</v>
      </c>
      <c r="AC383">
        <v>42000000</v>
      </c>
    </row>
    <row r="384" spans="1:29" x14ac:dyDescent="0.2">
      <c r="A384">
        <v>5221</v>
      </c>
      <c r="B384" t="s">
        <v>161</v>
      </c>
      <c r="C384">
        <v>24</v>
      </c>
      <c r="D384">
        <v>1152</v>
      </c>
      <c r="E384">
        <v>1</v>
      </c>
      <c r="F384" s="2">
        <f t="shared" si="50"/>
        <v>7.8125E-2</v>
      </c>
      <c r="G384" s="2">
        <v>2.867841899394989</v>
      </c>
      <c r="H384" s="2">
        <f t="shared" si="51"/>
        <v>0.22405014839023352</v>
      </c>
      <c r="I384">
        <v>2</v>
      </c>
      <c r="J384" s="2">
        <f t="shared" si="52"/>
        <v>0.15625</v>
      </c>
      <c r="K384" s="2">
        <v>2.3722804524004459</v>
      </c>
      <c r="L384" s="2">
        <f t="shared" si="53"/>
        <v>0.18533441034378484</v>
      </c>
      <c r="M384">
        <v>28</v>
      </c>
      <c r="N384" s="2">
        <f t="shared" si="54"/>
        <v>2.1875</v>
      </c>
      <c r="O384">
        <v>16</v>
      </c>
      <c r="P384" s="2">
        <f t="shared" si="55"/>
        <v>1.25</v>
      </c>
      <c r="Q384" t="s">
        <v>222</v>
      </c>
      <c r="R384" t="s">
        <v>126</v>
      </c>
      <c r="S384">
        <v>1</v>
      </c>
      <c r="T384" s="2">
        <f t="shared" si="56"/>
        <v>7.8125E-2</v>
      </c>
      <c r="U384" s="2">
        <v>2.867841899394989</v>
      </c>
      <c r="V384" s="2">
        <f t="shared" si="57"/>
        <v>0.22405014839023352</v>
      </c>
      <c r="W384" s="2">
        <v>6.2921207100152969</v>
      </c>
      <c r="X384" s="2">
        <f t="shared" si="58"/>
        <v>0.49157193046994502</v>
      </c>
      <c r="Y384" s="2">
        <v>2.2766535691916938</v>
      </c>
      <c r="Z384" s="2">
        <f t="shared" si="59"/>
        <v>0.17786356009310109</v>
      </c>
      <c r="AA384">
        <v>2024</v>
      </c>
      <c r="AB384">
        <v>1</v>
      </c>
      <c r="AC384">
        <v>28000000</v>
      </c>
    </row>
    <row r="385" spans="1:29" x14ac:dyDescent="0.2">
      <c r="A385">
        <v>5549</v>
      </c>
      <c r="B385" t="s">
        <v>162</v>
      </c>
      <c r="C385">
        <v>38</v>
      </c>
      <c r="D385">
        <v>3420</v>
      </c>
      <c r="E385">
        <v>12</v>
      </c>
      <c r="F385" s="2">
        <f t="shared" si="50"/>
        <v>0.31578947368421051</v>
      </c>
      <c r="G385" s="2">
        <v>10.491015594918281</v>
      </c>
      <c r="H385" s="2">
        <f t="shared" si="51"/>
        <v>0.27607935776100739</v>
      </c>
      <c r="I385">
        <v>2</v>
      </c>
      <c r="J385" s="2">
        <f t="shared" si="52"/>
        <v>5.2631578947368425E-2</v>
      </c>
      <c r="K385" s="2">
        <v>3.3903417177498341</v>
      </c>
      <c r="L385" s="2">
        <f t="shared" si="53"/>
        <v>8.9219518888153534E-2</v>
      </c>
      <c r="M385">
        <v>57</v>
      </c>
      <c r="N385" s="2">
        <f t="shared" si="54"/>
        <v>1.5</v>
      </c>
      <c r="O385">
        <v>59</v>
      </c>
      <c r="P385" s="2">
        <f t="shared" si="55"/>
        <v>1.5526315789473684</v>
      </c>
      <c r="Q385" t="s">
        <v>223</v>
      </c>
      <c r="R385" t="s">
        <v>60</v>
      </c>
      <c r="S385">
        <v>2</v>
      </c>
      <c r="T385" s="2">
        <f t="shared" si="56"/>
        <v>5.2631578947368425E-2</v>
      </c>
      <c r="U385" s="2">
        <v>2.118195530492812</v>
      </c>
      <c r="V385" s="2">
        <f t="shared" si="57"/>
        <v>5.5741987644547686E-2</v>
      </c>
      <c r="W385" s="2">
        <v>9.5348688373342156</v>
      </c>
      <c r="X385" s="2">
        <f t="shared" si="58"/>
        <v>0.25091760098247934</v>
      </c>
      <c r="Y385" s="2">
        <v>8.2986060967668891</v>
      </c>
      <c r="Z385" s="2">
        <f t="shared" si="59"/>
        <v>0.21838437096754973</v>
      </c>
      <c r="AA385">
        <v>2018</v>
      </c>
      <c r="AB385">
        <v>0</v>
      </c>
      <c r="AC385">
        <v>20000000</v>
      </c>
    </row>
    <row r="386" spans="1:29" x14ac:dyDescent="0.2">
      <c r="A386">
        <v>5549</v>
      </c>
      <c r="B386" t="s">
        <v>162</v>
      </c>
      <c r="C386">
        <v>31</v>
      </c>
      <c r="D386">
        <v>2519</v>
      </c>
      <c r="E386">
        <v>3</v>
      </c>
      <c r="F386" s="2">
        <f t="shared" si="50"/>
        <v>0.10718539102818578</v>
      </c>
      <c r="G386" s="2">
        <v>2.495716317556798</v>
      </c>
      <c r="H386" s="2">
        <f t="shared" si="51"/>
        <v>8.9168109797583106E-2</v>
      </c>
      <c r="I386">
        <v>1</v>
      </c>
      <c r="J386" s="2">
        <f t="shared" si="52"/>
        <v>3.5728463676061931E-2</v>
      </c>
      <c r="K386" s="2">
        <v>1.7364525254815819</v>
      </c>
      <c r="L386" s="2">
        <f t="shared" si="53"/>
        <v>6.2040780981874703E-2</v>
      </c>
      <c r="M386">
        <v>31</v>
      </c>
      <c r="N386" s="2">
        <f t="shared" si="54"/>
        <v>1.1075823739579198</v>
      </c>
      <c r="O386">
        <v>29</v>
      </c>
      <c r="P386" s="2">
        <f t="shared" si="55"/>
        <v>1.0361254466057959</v>
      </c>
      <c r="Q386" t="s">
        <v>223</v>
      </c>
      <c r="R386" t="s">
        <v>60</v>
      </c>
      <c r="S386">
        <v>1</v>
      </c>
      <c r="T386" s="2">
        <f t="shared" si="56"/>
        <v>3.5728463676061931E-2</v>
      </c>
      <c r="U386" s="2">
        <v>0.9733782848343252</v>
      </c>
      <c r="V386" s="2">
        <f t="shared" si="57"/>
        <v>3.4777310692770652E-2</v>
      </c>
      <c r="W386" s="2">
        <v>4.5046240724623203</v>
      </c>
      <c r="X386" s="2">
        <f t="shared" si="58"/>
        <v>0.16094329754728418</v>
      </c>
      <c r="Y386" s="2">
        <v>3.9863292016088958</v>
      </c>
      <c r="Z386" s="2">
        <f t="shared" si="59"/>
        <v>0.1424254180805084</v>
      </c>
      <c r="AA386">
        <v>2019</v>
      </c>
      <c r="AB386">
        <v>0</v>
      </c>
      <c r="AC386">
        <v>20000000</v>
      </c>
    </row>
    <row r="387" spans="1:29" x14ac:dyDescent="0.2">
      <c r="A387">
        <v>5549</v>
      </c>
      <c r="B387" t="s">
        <v>162</v>
      </c>
      <c r="C387">
        <v>31</v>
      </c>
      <c r="D387">
        <v>2374</v>
      </c>
      <c r="E387">
        <v>1</v>
      </c>
      <c r="F387" s="2">
        <f t="shared" ref="F387:F450" si="60">E387/D387*90</f>
        <v>3.7910699241786014E-2</v>
      </c>
      <c r="G387" s="2">
        <v>2.2134611266665161</v>
      </c>
      <c r="H387" s="2">
        <f t="shared" ref="H387:H450" si="61">G387/D387*90</f>
        <v>8.3913859056439111E-2</v>
      </c>
      <c r="I387">
        <v>1</v>
      </c>
      <c r="J387" s="2">
        <f t="shared" ref="J387:J450" si="62">I387/D387*90</f>
        <v>3.7910699241786014E-2</v>
      </c>
      <c r="K387" s="2">
        <v>1.773464877158403</v>
      </c>
      <c r="L387" s="2">
        <f t="shared" ref="L387:L450" si="63">K387/D387*90</f>
        <v>6.7233293573823197E-2</v>
      </c>
      <c r="M387">
        <v>19</v>
      </c>
      <c r="N387" s="2">
        <f t="shared" ref="N387:N450" si="64">M387/D387*90</f>
        <v>0.72030328559393419</v>
      </c>
      <c r="O387">
        <v>21</v>
      </c>
      <c r="P387" s="2">
        <f t="shared" ref="P387:P450" si="65">O387/D387*90</f>
        <v>0.79612468407750625</v>
      </c>
      <c r="Q387" t="s">
        <v>223</v>
      </c>
      <c r="R387" t="s">
        <v>60</v>
      </c>
      <c r="S387">
        <v>0</v>
      </c>
      <c r="T387" s="2">
        <f t="shared" ref="T387:T450" si="66">S387/D387*90</f>
        <v>0</v>
      </c>
      <c r="U387" s="2">
        <v>0.69112342922016978</v>
      </c>
      <c r="V387" s="2">
        <f t="shared" ref="V387:V450" si="67">U387/D387*90</f>
        <v>2.6200972464117643E-2</v>
      </c>
      <c r="W387" s="2">
        <v>6.3673016591928899</v>
      </c>
      <c r="X387" s="2">
        <f t="shared" ref="X387:X450" si="68">W387/D387*90</f>
        <v>0.24138885818338673</v>
      </c>
      <c r="Y387" s="2">
        <v>5.7052584793418646</v>
      </c>
      <c r="Z387" s="2">
        <f t="shared" ref="Z387:Z450" si="69">Y387/D387*90</f>
        <v>0.21629033830697886</v>
      </c>
      <c r="AA387">
        <v>2020</v>
      </c>
      <c r="AB387">
        <v>1</v>
      </c>
      <c r="AC387">
        <v>8000000</v>
      </c>
    </row>
    <row r="388" spans="1:29" x14ac:dyDescent="0.2">
      <c r="A388">
        <v>5549</v>
      </c>
      <c r="B388" t="s">
        <v>162</v>
      </c>
      <c r="C388">
        <v>15</v>
      </c>
      <c r="D388">
        <v>776</v>
      </c>
      <c r="E388">
        <v>0</v>
      </c>
      <c r="F388" s="2">
        <f t="shared" si="60"/>
        <v>0</v>
      </c>
      <c r="G388" s="2">
        <v>0.28937009256333113</v>
      </c>
      <c r="H388" s="2">
        <f t="shared" si="61"/>
        <v>3.3560964343685315E-2</v>
      </c>
      <c r="I388">
        <v>0</v>
      </c>
      <c r="J388" s="2">
        <f t="shared" si="62"/>
        <v>0</v>
      </c>
      <c r="K388" s="2">
        <v>0.64189070463180542</v>
      </c>
      <c r="L388" s="2">
        <f t="shared" si="63"/>
        <v>7.4446086877400119E-2</v>
      </c>
      <c r="M388">
        <v>8</v>
      </c>
      <c r="N388" s="2">
        <f t="shared" si="64"/>
        <v>0.92783505154639179</v>
      </c>
      <c r="O388">
        <v>10</v>
      </c>
      <c r="P388" s="2">
        <f t="shared" si="65"/>
        <v>1.1597938144329896</v>
      </c>
      <c r="Q388" t="s">
        <v>223</v>
      </c>
      <c r="R388" t="s">
        <v>60</v>
      </c>
      <c r="S388">
        <v>0</v>
      </c>
      <c r="T388" s="2">
        <f t="shared" si="66"/>
        <v>0</v>
      </c>
      <c r="U388" s="2">
        <v>0.28937009256333113</v>
      </c>
      <c r="V388" s="2">
        <f t="shared" si="67"/>
        <v>3.3560964343685315E-2</v>
      </c>
      <c r="W388" s="2">
        <v>2.9156328924000259</v>
      </c>
      <c r="X388" s="2">
        <f t="shared" si="68"/>
        <v>0.33815329937629168</v>
      </c>
      <c r="Y388" s="2">
        <v>2.5944893695414062</v>
      </c>
      <c r="Z388" s="2">
        <f t="shared" si="69"/>
        <v>0.30090727224062702</v>
      </c>
      <c r="AA388">
        <v>2021</v>
      </c>
      <c r="AB388">
        <v>1</v>
      </c>
      <c r="AC388">
        <v>4000000</v>
      </c>
    </row>
    <row r="389" spans="1:29" x14ac:dyDescent="0.2">
      <c r="A389">
        <v>5556</v>
      </c>
      <c r="B389" t="s">
        <v>163</v>
      </c>
      <c r="C389">
        <v>34</v>
      </c>
      <c r="D389">
        <v>2765</v>
      </c>
      <c r="E389">
        <v>4</v>
      </c>
      <c r="F389" s="2">
        <f t="shared" si="60"/>
        <v>0.1301989150090416</v>
      </c>
      <c r="G389" s="2">
        <v>6.2511155493557453</v>
      </c>
      <c r="H389" s="2">
        <f t="shared" si="61"/>
        <v>0.20347211553056674</v>
      </c>
      <c r="I389">
        <v>4</v>
      </c>
      <c r="J389" s="2">
        <f t="shared" si="62"/>
        <v>0.1301989150090416</v>
      </c>
      <c r="K389" s="2">
        <v>5.2584100160747766</v>
      </c>
      <c r="L389" s="2">
        <f t="shared" si="63"/>
        <v>0.17115981969140323</v>
      </c>
      <c r="M389">
        <v>69</v>
      </c>
      <c r="N389" s="2">
        <f t="shared" si="64"/>
        <v>2.2459312839059673</v>
      </c>
      <c r="O389">
        <v>61</v>
      </c>
      <c r="P389" s="2">
        <f t="shared" si="65"/>
        <v>1.9855334538878844</v>
      </c>
      <c r="Q389" t="s">
        <v>222</v>
      </c>
      <c r="R389" t="s">
        <v>164</v>
      </c>
      <c r="S389">
        <v>4</v>
      </c>
      <c r="T389" s="2">
        <f t="shared" si="66"/>
        <v>0.1301989150090416</v>
      </c>
      <c r="U389" s="2">
        <v>5.4899468533694744</v>
      </c>
      <c r="V389" s="2">
        <f t="shared" si="67"/>
        <v>0.17869628094150189</v>
      </c>
      <c r="W389" s="2">
        <v>15.355226468294861</v>
      </c>
      <c r="X389" s="2">
        <f t="shared" si="68"/>
        <v>0.49980845647252709</v>
      </c>
      <c r="Y389" s="2">
        <v>7.3341600392013788</v>
      </c>
      <c r="Z389" s="2">
        <f t="shared" si="69"/>
        <v>0.23872491990167238</v>
      </c>
      <c r="AA389">
        <v>2020</v>
      </c>
      <c r="AB389">
        <v>0</v>
      </c>
      <c r="AC389">
        <v>11000000</v>
      </c>
    </row>
    <row r="390" spans="1:29" x14ac:dyDescent="0.2">
      <c r="A390">
        <v>5556</v>
      </c>
      <c r="B390" t="s">
        <v>163</v>
      </c>
      <c r="C390">
        <v>26</v>
      </c>
      <c r="D390">
        <v>1470</v>
      </c>
      <c r="E390">
        <v>6</v>
      </c>
      <c r="F390" s="2">
        <f t="shared" si="60"/>
        <v>0.36734693877551022</v>
      </c>
      <c r="G390" s="2">
        <v>4.7813609689474106</v>
      </c>
      <c r="H390" s="2">
        <f t="shared" si="61"/>
        <v>0.29273638585392309</v>
      </c>
      <c r="I390">
        <v>0</v>
      </c>
      <c r="J390" s="2">
        <f t="shared" si="62"/>
        <v>0</v>
      </c>
      <c r="K390" s="2">
        <v>1.8123619975522161</v>
      </c>
      <c r="L390" s="2">
        <f t="shared" si="63"/>
        <v>0.11096093862564588</v>
      </c>
      <c r="M390">
        <v>26</v>
      </c>
      <c r="N390" s="2">
        <f t="shared" si="64"/>
        <v>1.5918367346938778</v>
      </c>
      <c r="O390">
        <v>23</v>
      </c>
      <c r="P390" s="2">
        <f t="shared" si="65"/>
        <v>1.4081632653061227</v>
      </c>
      <c r="Q390" t="s">
        <v>222</v>
      </c>
      <c r="R390" t="s">
        <v>165</v>
      </c>
      <c r="S390">
        <v>6</v>
      </c>
      <c r="T390" s="2">
        <f t="shared" si="66"/>
        <v>0.36734693877551022</v>
      </c>
      <c r="U390" s="2">
        <v>4.7813609689474106</v>
      </c>
      <c r="V390" s="2">
        <f t="shared" si="67"/>
        <v>0.29273638585392309</v>
      </c>
      <c r="W390" s="2">
        <v>11.409113086760041</v>
      </c>
      <c r="X390" s="2">
        <f t="shared" si="68"/>
        <v>0.69851712776081887</v>
      </c>
      <c r="Y390" s="2">
        <v>5.6401435881853104</v>
      </c>
      <c r="Z390" s="2">
        <f t="shared" si="69"/>
        <v>0.34531491356236593</v>
      </c>
      <c r="AA390">
        <v>2021</v>
      </c>
      <c r="AB390">
        <v>0</v>
      </c>
      <c r="AC390">
        <v>10000000</v>
      </c>
    </row>
    <row r="391" spans="1:29" x14ac:dyDescent="0.2">
      <c r="A391">
        <v>5556</v>
      </c>
      <c r="B391" t="s">
        <v>163</v>
      </c>
      <c r="C391">
        <v>31</v>
      </c>
      <c r="D391">
        <v>1745</v>
      </c>
      <c r="E391">
        <v>13</v>
      </c>
      <c r="F391" s="2">
        <f t="shared" si="60"/>
        <v>0.67048710601719197</v>
      </c>
      <c r="G391" s="2">
        <v>10.57764142565429</v>
      </c>
      <c r="H391" s="2">
        <f t="shared" si="61"/>
        <v>0.54555170676727005</v>
      </c>
      <c r="I391">
        <v>6</v>
      </c>
      <c r="J391" s="2">
        <f t="shared" si="62"/>
        <v>0.30945558739255014</v>
      </c>
      <c r="K391" s="2">
        <v>5.7307195644825697</v>
      </c>
      <c r="L391" s="2">
        <f t="shared" si="63"/>
        <v>0.29556719816815546</v>
      </c>
      <c r="M391">
        <v>52</v>
      </c>
      <c r="N391" s="2">
        <f t="shared" si="64"/>
        <v>2.6819484240687679</v>
      </c>
      <c r="O391">
        <v>40</v>
      </c>
      <c r="P391" s="2">
        <f t="shared" si="65"/>
        <v>2.0630372492836675</v>
      </c>
      <c r="Q391" t="s">
        <v>222</v>
      </c>
      <c r="R391" t="s">
        <v>93</v>
      </c>
      <c r="S391">
        <v>10</v>
      </c>
      <c r="T391" s="2">
        <f t="shared" si="66"/>
        <v>0.51575931232091687</v>
      </c>
      <c r="U391" s="2">
        <v>8.2937472574412823</v>
      </c>
      <c r="V391" s="2">
        <f t="shared" si="67"/>
        <v>0.4277577382061406</v>
      </c>
      <c r="W391" s="2">
        <v>16.50912071205676</v>
      </c>
      <c r="X391" s="2">
        <f t="shared" si="68"/>
        <v>0.85147327454734001</v>
      </c>
      <c r="Y391" s="2">
        <v>3.6893259231001139</v>
      </c>
      <c r="Z391" s="2">
        <f t="shared" si="69"/>
        <v>0.19028042010258467</v>
      </c>
      <c r="AA391">
        <v>2022</v>
      </c>
      <c r="AB391">
        <v>1</v>
      </c>
      <c r="AC391">
        <v>30000000</v>
      </c>
    </row>
    <row r="392" spans="1:29" x14ac:dyDescent="0.2">
      <c r="A392">
        <v>5556</v>
      </c>
      <c r="B392" t="s">
        <v>163</v>
      </c>
      <c r="C392">
        <v>31</v>
      </c>
      <c r="D392">
        <v>1930</v>
      </c>
      <c r="E392">
        <v>11</v>
      </c>
      <c r="F392" s="2">
        <f t="shared" si="60"/>
        <v>0.51295336787564771</v>
      </c>
      <c r="G392" s="2">
        <v>11.020978674292561</v>
      </c>
      <c r="H392" s="2">
        <f t="shared" si="61"/>
        <v>0.51393164802400537</v>
      </c>
      <c r="I392">
        <v>7</v>
      </c>
      <c r="J392" s="2">
        <f t="shared" si="62"/>
        <v>0.32642487046632124</v>
      </c>
      <c r="K392" s="2">
        <v>6.3602783959358931</v>
      </c>
      <c r="L392" s="2">
        <f t="shared" si="63"/>
        <v>0.29659329307473076</v>
      </c>
      <c r="M392">
        <v>67</v>
      </c>
      <c r="N392" s="2">
        <f t="shared" si="64"/>
        <v>3.1243523316062176</v>
      </c>
      <c r="O392">
        <v>49</v>
      </c>
      <c r="P392" s="2">
        <f t="shared" si="65"/>
        <v>2.2849740932642484</v>
      </c>
      <c r="Q392" t="s">
        <v>222</v>
      </c>
      <c r="R392" t="s">
        <v>93</v>
      </c>
      <c r="S392">
        <v>11</v>
      </c>
      <c r="T392" s="2">
        <f t="shared" si="66"/>
        <v>0.51295336787564771</v>
      </c>
      <c r="U392" s="2">
        <v>11.020978674292561</v>
      </c>
      <c r="V392" s="2">
        <f t="shared" si="67"/>
        <v>0.51393164802400537</v>
      </c>
      <c r="W392" s="2">
        <v>19.68611168302596</v>
      </c>
      <c r="X392" s="2">
        <f t="shared" si="68"/>
        <v>0.91800520801675467</v>
      </c>
      <c r="Y392" s="2">
        <v>5.5482670161873102</v>
      </c>
      <c r="Z392" s="2">
        <f t="shared" si="69"/>
        <v>0.25872747743878649</v>
      </c>
      <c r="AA392">
        <v>2023</v>
      </c>
      <c r="AB392">
        <v>1</v>
      </c>
      <c r="AC392">
        <v>40000000</v>
      </c>
    </row>
    <row r="393" spans="1:29" x14ac:dyDescent="0.2">
      <c r="A393">
        <v>5609</v>
      </c>
      <c r="B393" t="s">
        <v>166</v>
      </c>
      <c r="C393">
        <v>23</v>
      </c>
      <c r="D393">
        <v>746</v>
      </c>
      <c r="E393">
        <v>1</v>
      </c>
      <c r="F393" s="2">
        <f t="shared" si="60"/>
        <v>0.12064343163538874</v>
      </c>
      <c r="G393" s="2">
        <v>0.53696389310061932</v>
      </c>
      <c r="H393" s="2">
        <f t="shared" si="61"/>
        <v>6.4781166727956752E-2</v>
      </c>
      <c r="I393">
        <v>0</v>
      </c>
      <c r="J393" s="2">
        <f t="shared" si="62"/>
        <v>0</v>
      </c>
      <c r="K393" s="2">
        <v>0.3861588966101408</v>
      </c>
      <c r="L393" s="2">
        <f t="shared" si="63"/>
        <v>4.658753444358267E-2</v>
      </c>
      <c r="M393">
        <v>19</v>
      </c>
      <c r="N393" s="2">
        <f t="shared" si="64"/>
        <v>2.292225201072386</v>
      </c>
      <c r="O393">
        <v>11</v>
      </c>
      <c r="P393" s="2">
        <f t="shared" si="65"/>
        <v>1.3270777479892761</v>
      </c>
      <c r="Q393" t="s">
        <v>223</v>
      </c>
      <c r="R393" t="s">
        <v>143</v>
      </c>
      <c r="S393">
        <v>1</v>
      </c>
      <c r="T393" s="2">
        <f t="shared" si="66"/>
        <v>0.12064343163538874</v>
      </c>
      <c r="U393" s="2">
        <v>0.53696389310061932</v>
      </c>
      <c r="V393" s="2">
        <f t="shared" si="67"/>
        <v>6.4781166727956752E-2</v>
      </c>
      <c r="W393" s="2">
        <v>1.5541975945234301</v>
      </c>
      <c r="X393" s="2">
        <f t="shared" si="68"/>
        <v>0.18750373124277306</v>
      </c>
      <c r="Y393" s="2">
        <v>1.022682406008244</v>
      </c>
      <c r="Z393" s="2">
        <f t="shared" si="69"/>
        <v>0.12337991493397045</v>
      </c>
      <c r="AA393">
        <v>2016</v>
      </c>
      <c r="AB393">
        <v>0</v>
      </c>
      <c r="AC393">
        <v>800000</v>
      </c>
    </row>
    <row r="394" spans="1:29" x14ac:dyDescent="0.2">
      <c r="A394">
        <v>5609</v>
      </c>
      <c r="B394" t="s">
        <v>166</v>
      </c>
      <c r="C394">
        <v>24</v>
      </c>
      <c r="D394">
        <v>1556</v>
      </c>
      <c r="E394">
        <v>2</v>
      </c>
      <c r="F394" s="2">
        <f t="shared" si="60"/>
        <v>0.11568123393316194</v>
      </c>
      <c r="G394" s="2">
        <v>2.052620105445385</v>
      </c>
      <c r="H394" s="2">
        <f t="shared" si="61"/>
        <v>0.11872481329696957</v>
      </c>
      <c r="I394">
        <v>1</v>
      </c>
      <c r="J394" s="2">
        <f t="shared" si="62"/>
        <v>5.7840616966580972E-2</v>
      </c>
      <c r="K394" s="2">
        <v>0.75610261410474777</v>
      </c>
      <c r="L394" s="2">
        <f t="shared" si="63"/>
        <v>4.3733441689863303E-2</v>
      </c>
      <c r="M394">
        <v>41</v>
      </c>
      <c r="N394" s="2">
        <f t="shared" si="64"/>
        <v>2.3714652956298199</v>
      </c>
      <c r="O394">
        <v>11</v>
      </c>
      <c r="P394" s="2">
        <f t="shared" si="65"/>
        <v>0.63624678663239076</v>
      </c>
      <c r="Q394" t="s">
        <v>223</v>
      </c>
      <c r="R394" t="s">
        <v>143</v>
      </c>
      <c r="S394">
        <v>2</v>
      </c>
      <c r="T394" s="2">
        <f t="shared" si="66"/>
        <v>0.11568123393316194</v>
      </c>
      <c r="U394" s="2">
        <v>2.052620105445385</v>
      </c>
      <c r="V394" s="2">
        <f t="shared" si="67"/>
        <v>0.11872481329696957</v>
      </c>
      <c r="W394" s="2">
        <v>6.7644583554938444</v>
      </c>
      <c r="X394" s="2">
        <f t="shared" si="68"/>
        <v>0.39126044472650773</v>
      </c>
      <c r="Y394" s="2">
        <v>4.8736232770606884</v>
      </c>
      <c r="Z394" s="2">
        <f t="shared" si="69"/>
        <v>0.28189337720788044</v>
      </c>
      <c r="AA394">
        <v>2017</v>
      </c>
      <c r="AB394">
        <v>0</v>
      </c>
      <c r="AC394">
        <v>8000000</v>
      </c>
    </row>
    <row r="395" spans="1:29" x14ac:dyDescent="0.2">
      <c r="A395">
        <v>5609</v>
      </c>
      <c r="B395" t="s">
        <v>166</v>
      </c>
      <c r="C395">
        <v>28</v>
      </c>
      <c r="D395">
        <v>1757</v>
      </c>
      <c r="E395">
        <v>0</v>
      </c>
      <c r="F395" s="2">
        <f t="shared" si="60"/>
        <v>0</v>
      </c>
      <c r="G395" s="2">
        <v>1.7799655944108961</v>
      </c>
      <c r="H395" s="2">
        <f t="shared" si="61"/>
        <v>9.1176382183825067E-2</v>
      </c>
      <c r="I395">
        <v>0</v>
      </c>
      <c r="J395" s="2">
        <f t="shared" si="62"/>
        <v>0</v>
      </c>
      <c r="K395" s="2">
        <v>0.99385251477360725</v>
      </c>
      <c r="L395" s="2">
        <f t="shared" si="63"/>
        <v>5.0908779925796614E-2</v>
      </c>
      <c r="M395">
        <v>31</v>
      </c>
      <c r="N395" s="2">
        <f t="shared" si="64"/>
        <v>1.5879339783722253</v>
      </c>
      <c r="O395">
        <v>13</v>
      </c>
      <c r="P395" s="2">
        <f t="shared" si="65"/>
        <v>0.66590779738190098</v>
      </c>
      <c r="Q395" t="s">
        <v>223</v>
      </c>
      <c r="R395" t="s">
        <v>34</v>
      </c>
      <c r="S395">
        <v>0</v>
      </c>
      <c r="T395" s="2">
        <f t="shared" si="66"/>
        <v>0</v>
      </c>
      <c r="U395" s="2">
        <v>1.7799655944108961</v>
      </c>
      <c r="V395" s="2">
        <f t="shared" si="67"/>
        <v>9.1176382183825067E-2</v>
      </c>
      <c r="W395" s="2">
        <v>4.9765729252249002</v>
      </c>
      <c r="X395" s="2">
        <f t="shared" si="68"/>
        <v>0.25491836270360901</v>
      </c>
      <c r="Y395" s="2">
        <v>3.1750617306679492</v>
      </c>
      <c r="Z395" s="2">
        <f t="shared" si="69"/>
        <v>0.16263833566312774</v>
      </c>
      <c r="AA395">
        <v>2018</v>
      </c>
      <c r="AB395">
        <v>1</v>
      </c>
      <c r="AC395">
        <v>15000000</v>
      </c>
    </row>
    <row r="396" spans="1:29" x14ac:dyDescent="0.2">
      <c r="A396">
        <v>5609</v>
      </c>
      <c r="B396" t="s">
        <v>166</v>
      </c>
      <c r="C396">
        <v>22</v>
      </c>
      <c r="D396">
        <v>1270</v>
      </c>
      <c r="E396">
        <v>1</v>
      </c>
      <c r="F396" s="2">
        <f t="shared" si="60"/>
        <v>7.0866141732283464E-2</v>
      </c>
      <c r="G396" s="2">
        <v>0.4054245175793767</v>
      </c>
      <c r="H396" s="2">
        <f t="shared" si="61"/>
        <v>2.8730871324522757E-2</v>
      </c>
      <c r="I396">
        <v>0</v>
      </c>
      <c r="J396" s="2">
        <f t="shared" si="62"/>
        <v>0</v>
      </c>
      <c r="K396" s="2">
        <v>0.13574090041220191</v>
      </c>
      <c r="L396" s="2">
        <f t="shared" si="63"/>
        <v>9.6194338874788753E-3</v>
      </c>
      <c r="M396">
        <v>16</v>
      </c>
      <c r="N396" s="2">
        <f t="shared" si="64"/>
        <v>1.1338582677165354</v>
      </c>
      <c r="O396">
        <v>4</v>
      </c>
      <c r="P396" s="2">
        <f t="shared" si="65"/>
        <v>0.28346456692913385</v>
      </c>
      <c r="Q396" t="s">
        <v>223</v>
      </c>
      <c r="R396" t="s">
        <v>34</v>
      </c>
      <c r="S396">
        <v>1</v>
      </c>
      <c r="T396" s="2">
        <f t="shared" si="66"/>
        <v>7.0866141732283464E-2</v>
      </c>
      <c r="U396" s="2">
        <v>0.4054245175793767</v>
      </c>
      <c r="V396" s="2">
        <f t="shared" si="67"/>
        <v>2.8730871324522757E-2</v>
      </c>
      <c r="W396" s="2">
        <v>3.369017537683249</v>
      </c>
      <c r="X396" s="2">
        <f t="shared" si="68"/>
        <v>0.23874927432400977</v>
      </c>
      <c r="Y396" s="2">
        <v>2.93156909942627</v>
      </c>
      <c r="Z396" s="2">
        <f t="shared" si="69"/>
        <v>0.20774899129792465</v>
      </c>
      <c r="AA396">
        <v>2019</v>
      </c>
      <c r="AB396">
        <v>1</v>
      </c>
      <c r="AC396">
        <v>9500000</v>
      </c>
    </row>
    <row r="397" spans="1:29" x14ac:dyDescent="0.2">
      <c r="A397">
        <v>5619</v>
      </c>
      <c r="B397" t="s">
        <v>167</v>
      </c>
      <c r="C397">
        <v>34</v>
      </c>
      <c r="D397">
        <v>2900</v>
      </c>
      <c r="E397">
        <v>5</v>
      </c>
      <c r="F397" s="2">
        <f t="shared" si="60"/>
        <v>0.15517241379310345</v>
      </c>
      <c r="G397" s="2">
        <v>4.6076609846204519</v>
      </c>
      <c r="H397" s="2">
        <f t="shared" si="61"/>
        <v>0.14299637538477264</v>
      </c>
      <c r="I397">
        <v>6</v>
      </c>
      <c r="J397" s="2">
        <f t="shared" si="62"/>
        <v>0.18620689655172415</v>
      </c>
      <c r="K397" s="2">
        <v>4.9257880048826337</v>
      </c>
      <c r="L397" s="2">
        <f t="shared" si="63"/>
        <v>0.1528692829101507</v>
      </c>
      <c r="M397">
        <v>50</v>
      </c>
      <c r="N397" s="2">
        <f t="shared" si="64"/>
        <v>1.5517241379310345</v>
      </c>
      <c r="O397">
        <v>57</v>
      </c>
      <c r="P397" s="2">
        <f t="shared" si="65"/>
        <v>1.7689655172413792</v>
      </c>
      <c r="Q397" t="s">
        <v>223</v>
      </c>
      <c r="R397" t="s">
        <v>25</v>
      </c>
      <c r="S397">
        <v>4</v>
      </c>
      <c r="T397" s="2">
        <f t="shared" si="66"/>
        <v>0.12413793103448274</v>
      </c>
      <c r="U397" s="2">
        <v>3.8475658763200049</v>
      </c>
      <c r="V397" s="2">
        <f t="shared" si="67"/>
        <v>0.11940721685131049</v>
      </c>
      <c r="W397" s="2">
        <v>13.79770386405289</v>
      </c>
      <c r="X397" s="2">
        <f t="shared" si="68"/>
        <v>0.42820460267750349</v>
      </c>
      <c r="Y397" s="2">
        <v>8.7272780146449804</v>
      </c>
      <c r="Z397" s="2">
        <f t="shared" si="69"/>
        <v>0.27084655907518906</v>
      </c>
      <c r="AA397">
        <v>2017</v>
      </c>
      <c r="AB397">
        <v>0</v>
      </c>
      <c r="AC397">
        <v>8000000</v>
      </c>
    </row>
    <row r="398" spans="1:29" x14ac:dyDescent="0.2">
      <c r="A398">
        <v>5619</v>
      </c>
      <c r="B398" t="s">
        <v>167</v>
      </c>
      <c r="C398">
        <v>30</v>
      </c>
      <c r="D398">
        <v>2390</v>
      </c>
      <c r="E398">
        <v>2</v>
      </c>
      <c r="F398" s="2">
        <f t="shared" si="60"/>
        <v>7.5313807531380755E-2</v>
      </c>
      <c r="G398" s="2">
        <v>3.0589067284017801</v>
      </c>
      <c r="H398" s="2">
        <f t="shared" si="61"/>
        <v>0.11518895629964863</v>
      </c>
      <c r="I398">
        <v>1</v>
      </c>
      <c r="J398" s="2">
        <f t="shared" si="62"/>
        <v>3.7656903765690378E-2</v>
      </c>
      <c r="K398" s="2">
        <v>2.529963506385684</v>
      </c>
      <c r="L398" s="2">
        <f t="shared" si="63"/>
        <v>9.5270592290674291E-2</v>
      </c>
      <c r="M398">
        <v>39</v>
      </c>
      <c r="N398" s="2">
        <f t="shared" si="64"/>
        <v>1.4686192468619246</v>
      </c>
      <c r="O398">
        <v>30</v>
      </c>
      <c r="P398" s="2">
        <f t="shared" si="65"/>
        <v>1.1297071129707112</v>
      </c>
      <c r="Q398" t="s">
        <v>223</v>
      </c>
      <c r="R398" t="s">
        <v>25</v>
      </c>
      <c r="S398">
        <v>2</v>
      </c>
      <c r="T398" s="2">
        <f t="shared" si="66"/>
        <v>7.5313807531380755E-2</v>
      </c>
      <c r="U398" s="2">
        <v>3.0589067284017801</v>
      </c>
      <c r="V398" s="2">
        <f t="shared" si="67"/>
        <v>0.11518895629964863</v>
      </c>
      <c r="W398" s="2">
        <v>9.8097277823835594</v>
      </c>
      <c r="X398" s="2">
        <f t="shared" si="68"/>
        <v>0.36940397506883699</v>
      </c>
      <c r="Y398" s="2">
        <v>7.1095365695655346</v>
      </c>
      <c r="Z398" s="2">
        <f t="shared" si="69"/>
        <v>0.26772313441878581</v>
      </c>
      <c r="AA398">
        <v>2018</v>
      </c>
      <c r="AB398">
        <v>0</v>
      </c>
      <c r="AC398">
        <v>8000000</v>
      </c>
    </row>
    <row r="399" spans="1:29" x14ac:dyDescent="0.2">
      <c r="A399">
        <v>5619</v>
      </c>
      <c r="B399" t="s">
        <v>167</v>
      </c>
      <c r="C399">
        <v>26</v>
      </c>
      <c r="D399">
        <v>2251</v>
      </c>
      <c r="E399">
        <v>5</v>
      </c>
      <c r="F399" s="2">
        <f t="shared" si="60"/>
        <v>0.19991115059973344</v>
      </c>
      <c r="G399" s="2">
        <v>4.2295609023422003</v>
      </c>
      <c r="H399" s="2">
        <f t="shared" si="61"/>
        <v>0.16910727730377523</v>
      </c>
      <c r="I399">
        <v>5</v>
      </c>
      <c r="J399" s="2">
        <f t="shared" si="62"/>
        <v>0.19991115059973344</v>
      </c>
      <c r="K399" s="2">
        <v>3.9128098804503679</v>
      </c>
      <c r="L399" s="2">
        <f t="shared" si="63"/>
        <v>0.15644286505576771</v>
      </c>
      <c r="M399">
        <v>54</v>
      </c>
      <c r="N399" s="2">
        <f t="shared" si="64"/>
        <v>2.1590404264771212</v>
      </c>
      <c r="O399">
        <v>33</v>
      </c>
      <c r="P399" s="2">
        <f t="shared" si="65"/>
        <v>1.3194135939582408</v>
      </c>
      <c r="Q399" t="s">
        <v>223</v>
      </c>
      <c r="R399" t="s">
        <v>25</v>
      </c>
      <c r="S399">
        <v>5</v>
      </c>
      <c r="T399" s="2">
        <f t="shared" si="66"/>
        <v>0.19991115059973344</v>
      </c>
      <c r="U399" s="2">
        <v>4.2295609023422003</v>
      </c>
      <c r="V399" s="2">
        <f t="shared" si="67"/>
        <v>0.16910727730377523</v>
      </c>
      <c r="W399" s="2">
        <v>10.182970443740491</v>
      </c>
      <c r="X399" s="2">
        <f t="shared" si="68"/>
        <v>0.40713786758624793</v>
      </c>
      <c r="Y399" s="2">
        <v>4.0783528871834278</v>
      </c>
      <c r="Z399" s="2">
        <f t="shared" si="69"/>
        <v>0.16306164364571679</v>
      </c>
      <c r="AA399">
        <v>2019</v>
      </c>
      <c r="AB399">
        <v>1</v>
      </c>
      <c r="AC399">
        <v>8000000</v>
      </c>
    </row>
    <row r="400" spans="1:29" x14ac:dyDescent="0.2">
      <c r="A400">
        <v>5619</v>
      </c>
      <c r="B400" t="s">
        <v>167</v>
      </c>
      <c r="C400">
        <v>29</v>
      </c>
      <c r="D400">
        <v>2061</v>
      </c>
      <c r="E400">
        <v>4</v>
      </c>
      <c r="F400" s="2">
        <f t="shared" si="60"/>
        <v>0.17467248908296942</v>
      </c>
      <c r="G400" s="2">
        <v>4.1516034537926316</v>
      </c>
      <c r="H400" s="2">
        <f t="shared" si="61"/>
        <v>0.18129272723985293</v>
      </c>
      <c r="I400">
        <v>2</v>
      </c>
      <c r="J400" s="2">
        <f t="shared" si="62"/>
        <v>8.7336244541484712E-2</v>
      </c>
      <c r="K400" s="2">
        <v>0.85684118885546923</v>
      </c>
      <c r="L400" s="2">
        <f t="shared" si="63"/>
        <v>3.7416645801548874E-2</v>
      </c>
      <c r="M400">
        <v>43</v>
      </c>
      <c r="N400" s="2">
        <f t="shared" si="64"/>
        <v>1.8777292576419216</v>
      </c>
      <c r="O400">
        <v>11</v>
      </c>
      <c r="P400" s="2">
        <f t="shared" si="65"/>
        <v>0.48034934497816595</v>
      </c>
      <c r="Q400" t="s">
        <v>223</v>
      </c>
      <c r="R400" t="s">
        <v>25</v>
      </c>
      <c r="S400">
        <v>3</v>
      </c>
      <c r="T400" s="2">
        <f t="shared" si="66"/>
        <v>0.13100436681222707</v>
      </c>
      <c r="U400" s="2">
        <v>3.3915082598105069</v>
      </c>
      <c r="V400" s="2">
        <f t="shared" si="67"/>
        <v>0.14810079737163784</v>
      </c>
      <c r="W400" s="2">
        <v>8.7890086937695742</v>
      </c>
      <c r="X400" s="2">
        <f t="shared" si="68"/>
        <v>0.38379950627814735</v>
      </c>
      <c r="Y400" s="2">
        <v>5.5153327090665698</v>
      </c>
      <c r="Z400" s="2">
        <f t="shared" si="69"/>
        <v>0.24084422310334366</v>
      </c>
      <c r="AA400">
        <v>2020</v>
      </c>
      <c r="AB400">
        <v>1</v>
      </c>
      <c r="AC400">
        <v>7000000</v>
      </c>
    </row>
    <row r="401" spans="1:29" x14ac:dyDescent="0.2">
      <c r="A401">
        <v>5708</v>
      </c>
      <c r="B401" t="s">
        <v>168</v>
      </c>
      <c r="C401">
        <v>12</v>
      </c>
      <c r="D401">
        <v>888</v>
      </c>
      <c r="E401">
        <v>0</v>
      </c>
      <c r="F401" s="2">
        <f t="shared" si="60"/>
        <v>0</v>
      </c>
      <c r="G401" s="2">
        <v>0.15623700153082609</v>
      </c>
      <c r="H401" s="2">
        <f t="shared" si="61"/>
        <v>1.5834831236232375E-2</v>
      </c>
      <c r="I401">
        <v>0</v>
      </c>
      <c r="J401" s="2">
        <f t="shared" si="62"/>
        <v>0</v>
      </c>
      <c r="K401" s="2">
        <v>0.14597199857234949</v>
      </c>
      <c r="L401" s="2">
        <f t="shared" si="63"/>
        <v>1.4794459314765151E-2</v>
      </c>
      <c r="M401">
        <v>5</v>
      </c>
      <c r="N401" s="2">
        <f t="shared" si="64"/>
        <v>0.50675675675675669</v>
      </c>
      <c r="O401">
        <v>3</v>
      </c>
      <c r="P401" s="2">
        <f t="shared" si="65"/>
        <v>0.30405405405405406</v>
      </c>
      <c r="Q401" t="s">
        <v>224</v>
      </c>
      <c r="R401" t="s">
        <v>82</v>
      </c>
      <c r="S401">
        <v>0</v>
      </c>
      <c r="T401" s="2">
        <f t="shared" si="66"/>
        <v>0</v>
      </c>
      <c r="U401" s="2">
        <v>0.15623700153082609</v>
      </c>
      <c r="V401" s="2">
        <f t="shared" si="67"/>
        <v>1.5834831236232375E-2</v>
      </c>
      <c r="W401" s="2">
        <v>4.1399543955922127</v>
      </c>
      <c r="X401" s="2">
        <f t="shared" si="68"/>
        <v>0.41958997252623781</v>
      </c>
      <c r="Y401" s="2">
        <v>4.0656361058354378</v>
      </c>
      <c r="Z401" s="2">
        <f t="shared" si="69"/>
        <v>0.41205771342926734</v>
      </c>
      <c r="AA401">
        <v>2018</v>
      </c>
      <c r="AB401">
        <v>0</v>
      </c>
      <c r="AC401">
        <v>5000000</v>
      </c>
    </row>
    <row r="402" spans="1:29" x14ac:dyDescent="0.2">
      <c r="A402">
        <v>5708</v>
      </c>
      <c r="B402" t="s">
        <v>168</v>
      </c>
      <c r="C402">
        <v>11</v>
      </c>
      <c r="D402">
        <v>833</v>
      </c>
      <c r="E402">
        <v>0</v>
      </c>
      <c r="F402" s="2">
        <f t="shared" si="60"/>
        <v>0</v>
      </c>
      <c r="G402" s="2">
        <v>9.0913099236786366E-2</v>
      </c>
      <c r="H402" s="2">
        <f t="shared" si="61"/>
        <v>9.8225437350669548E-3</v>
      </c>
      <c r="I402">
        <v>1</v>
      </c>
      <c r="J402" s="2">
        <f t="shared" si="62"/>
        <v>0.10804321728691475</v>
      </c>
      <c r="K402" s="2">
        <v>1.372350372374058</v>
      </c>
      <c r="L402" s="2">
        <f t="shared" si="63"/>
        <v>0.14827314947618872</v>
      </c>
      <c r="M402">
        <v>4</v>
      </c>
      <c r="N402" s="2">
        <f t="shared" si="64"/>
        <v>0.43217286914765901</v>
      </c>
      <c r="O402">
        <v>12</v>
      </c>
      <c r="P402" s="2">
        <f t="shared" si="65"/>
        <v>1.2965186074429771</v>
      </c>
      <c r="Q402" t="s">
        <v>224</v>
      </c>
      <c r="R402" t="s">
        <v>82</v>
      </c>
      <c r="S402">
        <v>0</v>
      </c>
      <c r="T402" s="2">
        <f t="shared" si="66"/>
        <v>0</v>
      </c>
      <c r="U402" s="2">
        <v>9.0913099236786366E-2</v>
      </c>
      <c r="V402" s="2">
        <f t="shared" si="67"/>
        <v>9.8225437350669548E-3</v>
      </c>
      <c r="W402" s="2">
        <v>2.907043650746346</v>
      </c>
      <c r="X402" s="2">
        <f t="shared" si="68"/>
        <v>0.31408634882013342</v>
      </c>
      <c r="Y402" s="2">
        <v>1.8446342796087269</v>
      </c>
      <c r="Z402" s="2">
        <f t="shared" si="69"/>
        <v>0.1993002222866572</v>
      </c>
      <c r="AA402">
        <v>2019</v>
      </c>
      <c r="AB402">
        <v>0</v>
      </c>
      <c r="AC402">
        <v>2400000</v>
      </c>
    </row>
    <row r="403" spans="1:29" x14ac:dyDescent="0.2">
      <c r="A403">
        <v>5708</v>
      </c>
      <c r="B403" t="s">
        <v>168</v>
      </c>
      <c r="C403">
        <v>13</v>
      </c>
      <c r="D403">
        <v>611</v>
      </c>
      <c r="E403">
        <v>0</v>
      </c>
      <c r="F403" s="2">
        <f t="shared" si="60"/>
        <v>0</v>
      </c>
      <c r="G403" s="2">
        <v>7.4554597958922386E-2</v>
      </c>
      <c r="H403" s="2">
        <f t="shared" si="61"/>
        <v>1.098185567316369E-2</v>
      </c>
      <c r="I403">
        <v>0</v>
      </c>
      <c r="J403" s="2">
        <f t="shared" si="62"/>
        <v>0</v>
      </c>
      <c r="K403" s="2">
        <v>0.1398072009906173</v>
      </c>
      <c r="L403" s="2">
        <f t="shared" si="63"/>
        <v>2.0593532060811062E-2</v>
      </c>
      <c r="M403">
        <v>2</v>
      </c>
      <c r="N403" s="2">
        <f t="shared" si="64"/>
        <v>0.29459901800327332</v>
      </c>
      <c r="O403">
        <v>4</v>
      </c>
      <c r="P403" s="2">
        <f t="shared" si="65"/>
        <v>0.58919803600654663</v>
      </c>
      <c r="Q403" t="s">
        <v>224</v>
      </c>
      <c r="R403" t="s">
        <v>85</v>
      </c>
      <c r="S403">
        <v>0</v>
      </c>
      <c r="T403" s="2">
        <f t="shared" si="66"/>
        <v>0</v>
      </c>
      <c r="U403" s="2">
        <v>7.4554597958922386E-2</v>
      </c>
      <c r="V403" s="2">
        <f t="shared" si="67"/>
        <v>1.098185567316369E-2</v>
      </c>
      <c r="W403" s="2">
        <v>2.0796306934207678</v>
      </c>
      <c r="X403" s="2">
        <f t="shared" si="68"/>
        <v>0.30632858004561225</v>
      </c>
      <c r="Y403" s="2">
        <v>1.900300797075033</v>
      </c>
      <c r="Z403" s="2">
        <f t="shared" si="69"/>
        <v>0.27991337436457114</v>
      </c>
      <c r="AA403">
        <v>2020</v>
      </c>
      <c r="AB403">
        <v>1</v>
      </c>
      <c r="AC403">
        <v>1800000</v>
      </c>
    </row>
    <row r="404" spans="1:29" x14ac:dyDescent="0.2">
      <c r="A404">
        <v>5708</v>
      </c>
      <c r="B404" t="s">
        <v>168</v>
      </c>
      <c r="C404">
        <v>18</v>
      </c>
      <c r="D404">
        <v>1468</v>
      </c>
      <c r="E404">
        <v>0</v>
      </c>
      <c r="F404" s="2">
        <f t="shared" si="60"/>
        <v>0</v>
      </c>
      <c r="G404" s="2">
        <v>0.60450701415538788</v>
      </c>
      <c r="H404" s="2">
        <f t="shared" si="61"/>
        <v>3.7061056726147755E-2</v>
      </c>
      <c r="I404">
        <v>0</v>
      </c>
      <c r="J404" s="2">
        <f t="shared" si="62"/>
        <v>0</v>
      </c>
      <c r="K404" s="2">
        <v>0.72167019173502922</v>
      </c>
      <c r="L404" s="2">
        <f t="shared" si="63"/>
        <v>4.4244085324354657E-2</v>
      </c>
      <c r="M404">
        <v>11</v>
      </c>
      <c r="N404" s="2">
        <f t="shared" si="64"/>
        <v>0.67438692098092634</v>
      </c>
      <c r="O404">
        <v>10</v>
      </c>
      <c r="P404" s="2">
        <f t="shared" si="65"/>
        <v>0.61307901907356943</v>
      </c>
      <c r="Q404" t="s">
        <v>224</v>
      </c>
      <c r="R404" t="s">
        <v>85</v>
      </c>
      <c r="S404">
        <v>0</v>
      </c>
      <c r="T404" s="2">
        <f t="shared" si="66"/>
        <v>0</v>
      </c>
      <c r="U404" s="2">
        <v>0.60450701415538788</v>
      </c>
      <c r="V404" s="2">
        <f t="shared" si="67"/>
        <v>3.7061056726147755E-2</v>
      </c>
      <c r="W404" s="2">
        <v>3.9282860737293959</v>
      </c>
      <c r="X404" s="2">
        <f t="shared" si="68"/>
        <v>0.24083497727223818</v>
      </c>
      <c r="Y404" s="2">
        <v>3.27293189521879</v>
      </c>
      <c r="Z404" s="2">
        <f t="shared" si="69"/>
        <v>0.20065658758153343</v>
      </c>
      <c r="AA404">
        <v>2021</v>
      </c>
      <c r="AB404">
        <v>1</v>
      </c>
      <c r="AC404">
        <v>1500000</v>
      </c>
    </row>
    <row r="405" spans="1:29" x14ac:dyDescent="0.2">
      <c r="A405">
        <v>5956</v>
      </c>
      <c r="B405" t="s">
        <v>169</v>
      </c>
      <c r="C405">
        <v>32</v>
      </c>
      <c r="D405">
        <v>2638</v>
      </c>
      <c r="E405">
        <v>6</v>
      </c>
      <c r="F405" s="2">
        <f t="shared" si="60"/>
        <v>0.2047005307050796</v>
      </c>
      <c r="G405" s="2">
        <v>4.2664765100926161</v>
      </c>
      <c r="H405" s="2">
        <f t="shared" si="61"/>
        <v>0.14555833430945242</v>
      </c>
      <c r="I405">
        <v>4</v>
      </c>
      <c r="J405" s="2">
        <f t="shared" si="62"/>
        <v>0.13646702047005307</v>
      </c>
      <c r="K405" s="2">
        <v>4.3065823297947654</v>
      </c>
      <c r="L405" s="2">
        <f t="shared" si="63"/>
        <v>0.14692661473901777</v>
      </c>
      <c r="M405">
        <v>59</v>
      </c>
      <c r="N405" s="2">
        <f t="shared" si="64"/>
        <v>2.0128885519332829</v>
      </c>
      <c r="O405">
        <v>37</v>
      </c>
      <c r="P405" s="2">
        <f t="shared" si="65"/>
        <v>1.2623199393479909</v>
      </c>
      <c r="Q405" t="s">
        <v>223</v>
      </c>
      <c r="R405" t="s">
        <v>165</v>
      </c>
      <c r="S405">
        <v>4</v>
      </c>
      <c r="T405" s="2">
        <f t="shared" si="66"/>
        <v>0.13646702047005307</v>
      </c>
      <c r="U405" s="2">
        <v>2.744143282994628</v>
      </c>
      <c r="V405" s="2">
        <f t="shared" si="67"/>
        <v>9.3621264393296641E-2</v>
      </c>
      <c r="W405" s="2">
        <v>14.259323631413279</v>
      </c>
      <c r="X405" s="2">
        <f t="shared" si="68"/>
        <v>0.48648185247429682</v>
      </c>
      <c r="Y405" s="2">
        <v>8.546899825334549</v>
      </c>
      <c r="Z405" s="2">
        <f t="shared" si="69"/>
        <v>0.29159248835485574</v>
      </c>
      <c r="AA405">
        <v>2021</v>
      </c>
      <c r="AB405">
        <v>0</v>
      </c>
      <c r="AC405">
        <v>55000000</v>
      </c>
    </row>
    <row r="406" spans="1:29" x14ac:dyDescent="0.2">
      <c r="A406">
        <v>5956</v>
      </c>
      <c r="B406" t="s">
        <v>169</v>
      </c>
      <c r="C406">
        <v>31</v>
      </c>
      <c r="D406">
        <v>2365</v>
      </c>
      <c r="E406">
        <v>3</v>
      </c>
      <c r="F406" s="2">
        <f t="shared" si="60"/>
        <v>0.11416490486257927</v>
      </c>
      <c r="G406" s="2">
        <v>2.2394415708258748</v>
      </c>
      <c r="H406" s="2">
        <f t="shared" si="61"/>
        <v>8.522187795954704E-2</v>
      </c>
      <c r="I406">
        <v>2</v>
      </c>
      <c r="J406" s="2">
        <f t="shared" si="62"/>
        <v>7.6109936575052856E-2</v>
      </c>
      <c r="K406" s="2">
        <v>4.5288650188595057</v>
      </c>
      <c r="L406" s="2">
        <f t="shared" si="63"/>
        <v>0.17234581467118626</v>
      </c>
      <c r="M406">
        <v>31</v>
      </c>
      <c r="N406" s="2">
        <f t="shared" si="64"/>
        <v>1.1797040169133193</v>
      </c>
      <c r="O406">
        <v>30</v>
      </c>
      <c r="P406" s="2">
        <f t="shared" si="65"/>
        <v>1.1416490486257929</v>
      </c>
      <c r="Q406" t="s">
        <v>223</v>
      </c>
      <c r="R406" t="s">
        <v>165</v>
      </c>
      <c r="S406">
        <v>2</v>
      </c>
      <c r="T406" s="2">
        <f t="shared" si="66"/>
        <v>7.6109936575052856E-2</v>
      </c>
      <c r="U406" s="2">
        <v>0.71710457745939493</v>
      </c>
      <c r="V406" s="2">
        <f t="shared" si="67"/>
        <v>2.7289391954057315E-2</v>
      </c>
      <c r="W406" s="2">
        <v>14.30654012039304</v>
      </c>
      <c r="X406" s="2">
        <f t="shared" si="68"/>
        <v>0.54443493058578163</v>
      </c>
      <c r="Y406" s="2">
        <v>11.20656917989254</v>
      </c>
      <c r="Z406" s="2">
        <f t="shared" si="69"/>
        <v>0.42646563475278165</v>
      </c>
      <c r="AA406">
        <v>2022</v>
      </c>
      <c r="AB406">
        <v>0</v>
      </c>
      <c r="AC406">
        <v>25000000</v>
      </c>
    </row>
    <row r="407" spans="1:29" x14ac:dyDescent="0.2">
      <c r="A407">
        <v>5956</v>
      </c>
      <c r="B407" t="s">
        <v>169</v>
      </c>
      <c r="C407">
        <v>32</v>
      </c>
      <c r="D407">
        <v>1580</v>
      </c>
      <c r="E407">
        <v>2</v>
      </c>
      <c r="F407" s="2">
        <f t="shared" si="60"/>
        <v>0.11392405063291139</v>
      </c>
      <c r="G407" s="2">
        <v>1.004928763955832</v>
      </c>
      <c r="H407" s="2">
        <f t="shared" si="61"/>
        <v>5.7242777693686631E-2</v>
      </c>
      <c r="I407">
        <v>6</v>
      </c>
      <c r="J407" s="2">
        <f t="shared" si="62"/>
        <v>0.34177215189873417</v>
      </c>
      <c r="K407" s="2">
        <v>3.054328760132194</v>
      </c>
      <c r="L407" s="2">
        <f t="shared" si="63"/>
        <v>0.17398075215942876</v>
      </c>
      <c r="M407">
        <v>14</v>
      </c>
      <c r="N407" s="2">
        <f t="shared" si="64"/>
        <v>0.79746835443037978</v>
      </c>
      <c r="O407">
        <v>18</v>
      </c>
      <c r="P407" s="2">
        <f t="shared" si="65"/>
        <v>1.0253164556962024</v>
      </c>
      <c r="Q407" t="s">
        <v>223</v>
      </c>
      <c r="R407" t="s">
        <v>126</v>
      </c>
      <c r="S407">
        <v>2</v>
      </c>
      <c r="T407" s="2">
        <f t="shared" si="66"/>
        <v>0.11392405063291139</v>
      </c>
      <c r="U407" s="2">
        <v>1.004928763955832</v>
      </c>
      <c r="V407" s="2">
        <f t="shared" si="67"/>
        <v>5.7242777693686631E-2</v>
      </c>
      <c r="W407" s="2">
        <v>10.675306875258681</v>
      </c>
      <c r="X407" s="2">
        <f t="shared" si="68"/>
        <v>0.6080871004894185</v>
      </c>
      <c r="Y407" s="2">
        <v>8.0607899762690067</v>
      </c>
      <c r="Z407" s="2">
        <f t="shared" si="69"/>
        <v>0.45915892269886749</v>
      </c>
      <c r="AA407">
        <v>2023</v>
      </c>
      <c r="AB407">
        <v>1</v>
      </c>
      <c r="AC407">
        <v>25000000</v>
      </c>
    </row>
    <row r="408" spans="1:29" x14ac:dyDescent="0.2">
      <c r="A408">
        <v>5956</v>
      </c>
      <c r="B408" t="s">
        <v>169</v>
      </c>
      <c r="C408">
        <v>36</v>
      </c>
      <c r="D408">
        <v>3049</v>
      </c>
      <c r="E408">
        <v>3</v>
      </c>
      <c r="F408" s="2">
        <f t="shared" si="60"/>
        <v>8.8553624139061982E-2</v>
      </c>
      <c r="G408" s="2">
        <v>3.7097746096551418</v>
      </c>
      <c r="H408" s="2">
        <f t="shared" si="61"/>
        <v>0.10950466214134562</v>
      </c>
      <c r="I408">
        <v>7</v>
      </c>
      <c r="J408" s="2">
        <f t="shared" si="62"/>
        <v>0.20662512299114466</v>
      </c>
      <c r="K408" s="2">
        <v>8.0442373771220446</v>
      </c>
      <c r="L408" s="2">
        <f t="shared" si="63"/>
        <v>0.23744879105968647</v>
      </c>
      <c r="M408">
        <v>41</v>
      </c>
      <c r="N408" s="2">
        <f t="shared" si="64"/>
        <v>1.210232863233847</v>
      </c>
      <c r="O408">
        <v>60</v>
      </c>
      <c r="P408" s="2">
        <f t="shared" si="65"/>
        <v>1.7710724827812399</v>
      </c>
      <c r="Q408" t="s">
        <v>223</v>
      </c>
      <c r="R408" t="s">
        <v>126</v>
      </c>
      <c r="S408">
        <v>3</v>
      </c>
      <c r="T408" s="2">
        <f t="shared" si="66"/>
        <v>8.8553624139061982E-2</v>
      </c>
      <c r="U408" s="2">
        <v>2.94860577210784</v>
      </c>
      <c r="V408" s="2">
        <f t="shared" si="67"/>
        <v>8.7036575759168774E-2</v>
      </c>
      <c r="W408" s="2">
        <v>21.22876513004303</v>
      </c>
      <c r="X408" s="2">
        <f t="shared" si="68"/>
        <v>0.62662802942075202</v>
      </c>
      <c r="Y408" s="2">
        <v>16.205695185810331</v>
      </c>
      <c r="Z408" s="2">
        <f t="shared" si="69"/>
        <v>0.47835768013215146</v>
      </c>
      <c r="AA408">
        <v>2024</v>
      </c>
      <c r="AB408">
        <v>1</v>
      </c>
      <c r="AC408">
        <v>38000000</v>
      </c>
    </row>
    <row r="409" spans="1:29" x14ac:dyDescent="0.2">
      <c r="A409">
        <v>5989</v>
      </c>
      <c r="B409" t="s">
        <v>170</v>
      </c>
      <c r="C409">
        <v>32</v>
      </c>
      <c r="D409">
        <v>2867</v>
      </c>
      <c r="E409">
        <v>3</v>
      </c>
      <c r="F409" s="2">
        <f t="shared" si="60"/>
        <v>9.4175095919079174E-2</v>
      </c>
      <c r="G409" s="2">
        <v>2.397059097886086</v>
      </c>
      <c r="H409" s="2">
        <f t="shared" si="61"/>
        <v>7.5247756822374515E-2</v>
      </c>
      <c r="I409">
        <v>1</v>
      </c>
      <c r="J409" s="2">
        <f t="shared" si="62"/>
        <v>3.1391698639693058E-2</v>
      </c>
      <c r="K409" s="2">
        <v>1.6834920737892389</v>
      </c>
      <c r="L409" s="2">
        <f t="shared" si="63"/>
        <v>5.2847675842703695E-2</v>
      </c>
      <c r="M409">
        <v>10</v>
      </c>
      <c r="N409" s="2">
        <f t="shared" si="64"/>
        <v>0.31391698639693061</v>
      </c>
      <c r="O409">
        <v>16</v>
      </c>
      <c r="P409" s="2">
        <f t="shared" si="65"/>
        <v>0.50226717823508893</v>
      </c>
      <c r="Q409" t="s">
        <v>224</v>
      </c>
      <c r="R409" t="s">
        <v>171</v>
      </c>
      <c r="S409">
        <v>2</v>
      </c>
      <c r="T409" s="2">
        <f t="shared" si="66"/>
        <v>6.2783397279386116E-2</v>
      </c>
      <c r="U409" s="2">
        <v>1.6394441276788709</v>
      </c>
      <c r="V409" s="2">
        <f t="shared" si="67"/>
        <v>5.1464935992709591E-2</v>
      </c>
      <c r="W409" s="2">
        <v>8.0252355765551329</v>
      </c>
      <c r="X409" s="2">
        <f t="shared" si="68"/>
        <v>0.25192577673176214</v>
      </c>
      <c r="Y409" s="2">
        <v>6.6580108609050512</v>
      </c>
      <c r="Z409" s="2">
        <f t="shared" si="69"/>
        <v>0.20900627048533471</v>
      </c>
      <c r="AA409">
        <v>2020</v>
      </c>
      <c r="AB409">
        <v>0</v>
      </c>
      <c r="AC409">
        <v>15000000</v>
      </c>
    </row>
    <row r="410" spans="1:29" x14ac:dyDescent="0.2">
      <c r="A410">
        <v>5989</v>
      </c>
      <c r="B410" t="s">
        <v>170</v>
      </c>
      <c r="C410">
        <v>30</v>
      </c>
      <c r="D410">
        <v>2564</v>
      </c>
      <c r="E410">
        <v>4</v>
      </c>
      <c r="F410" s="2">
        <f t="shared" si="60"/>
        <v>0.14040561622464898</v>
      </c>
      <c r="G410" s="2">
        <v>4.0508731454610816</v>
      </c>
      <c r="H410" s="2">
        <f t="shared" si="61"/>
        <v>0.14219133505908632</v>
      </c>
      <c r="I410">
        <v>0</v>
      </c>
      <c r="J410" s="2">
        <f t="shared" si="62"/>
        <v>0</v>
      </c>
      <c r="K410" s="2">
        <v>0.52880880609154701</v>
      </c>
      <c r="L410" s="2">
        <f t="shared" si="63"/>
        <v>1.8561931571076142E-2</v>
      </c>
      <c r="M410">
        <v>13</v>
      </c>
      <c r="N410" s="2">
        <f t="shared" si="64"/>
        <v>0.45631825273010923</v>
      </c>
      <c r="O410">
        <v>11</v>
      </c>
      <c r="P410" s="2">
        <f t="shared" si="65"/>
        <v>0.38611544461778474</v>
      </c>
      <c r="Q410" t="s">
        <v>224</v>
      </c>
      <c r="R410" t="s">
        <v>171</v>
      </c>
      <c r="S410">
        <v>2</v>
      </c>
      <c r="T410" s="2">
        <f t="shared" si="66"/>
        <v>7.0202808112324488E-2</v>
      </c>
      <c r="U410" s="2">
        <v>2.535316213965416</v>
      </c>
      <c r="V410" s="2">
        <f t="shared" si="67"/>
        <v>8.8993158836539563E-2</v>
      </c>
      <c r="W410" s="2">
        <v>4.6144557818770409</v>
      </c>
      <c r="X410" s="2">
        <f t="shared" si="68"/>
        <v>0.16197387689896009</v>
      </c>
      <c r="Y410" s="2">
        <v>4.2738979049026966</v>
      </c>
      <c r="Z410" s="2">
        <f t="shared" si="69"/>
        <v>0.15001981725477484</v>
      </c>
      <c r="AA410">
        <v>2021</v>
      </c>
      <c r="AB410">
        <v>0</v>
      </c>
      <c r="AC410">
        <v>18000000</v>
      </c>
    </row>
    <row r="411" spans="1:29" x14ac:dyDescent="0.2">
      <c r="A411">
        <v>5989</v>
      </c>
      <c r="B411" t="s">
        <v>170</v>
      </c>
      <c r="C411">
        <v>14</v>
      </c>
      <c r="D411">
        <v>1170</v>
      </c>
      <c r="E411">
        <v>0</v>
      </c>
      <c r="F411" s="2">
        <f t="shared" si="60"/>
        <v>0</v>
      </c>
      <c r="G411" s="2">
        <v>1.253599126823246</v>
      </c>
      <c r="H411" s="2">
        <f t="shared" si="61"/>
        <v>9.6430702063326629E-2</v>
      </c>
      <c r="I411">
        <v>0</v>
      </c>
      <c r="J411" s="2">
        <f t="shared" si="62"/>
        <v>0</v>
      </c>
      <c r="K411" s="2">
        <v>6.972300261259079E-2</v>
      </c>
      <c r="L411" s="2">
        <f t="shared" si="63"/>
        <v>5.3633078932762146E-3</v>
      </c>
      <c r="M411">
        <v>6</v>
      </c>
      <c r="N411" s="2">
        <f t="shared" si="64"/>
        <v>0.46153846153846156</v>
      </c>
      <c r="O411">
        <v>1</v>
      </c>
      <c r="P411" s="2">
        <f t="shared" si="65"/>
        <v>7.6923076923076927E-2</v>
      </c>
      <c r="Q411" t="s">
        <v>224</v>
      </c>
      <c r="R411" t="s">
        <v>151</v>
      </c>
      <c r="S411">
        <v>0</v>
      </c>
      <c r="T411" s="2">
        <f t="shared" si="66"/>
        <v>0</v>
      </c>
      <c r="U411" s="2">
        <v>1.253599126823246</v>
      </c>
      <c r="V411" s="2">
        <f t="shared" si="67"/>
        <v>9.6430702063326629E-2</v>
      </c>
      <c r="W411" s="2">
        <v>1.220473725348711</v>
      </c>
      <c r="X411" s="2">
        <f t="shared" si="68"/>
        <v>9.3882594257593155E-2</v>
      </c>
      <c r="Y411" s="2">
        <v>1.220473725348711</v>
      </c>
      <c r="Z411" s="2">
        <f t="shared" si="69"/>
        <v>9.3882594257593155E-2</v>
      </c>
      <c r="AA411">
        <v>2022</v>
      </c>
      <c r="AB411">
        <v>1</v>
      </c>
      <c r="AC411">
        <v>18000000</v>
      </c>
    </row>
    <row r="412" spans="1:29" x14ac:dyDescent="0.2">
      <c r="A412">
        <v>5989</v>
      </c>
      <c r="B412" t="s">
        <v>170</v>
      </c>
      <c r="C412">
        <v>21</v>
      </c>
      <c r="D412">
        <v>1446</v>
      </c>
      <c r="E412">
        <v>1</v>
      </c>
      <c r="F412" s="2">
        <f t="shared" si="60"/>
        <v>6.2240663900414939E-2</v>
      </c>
      <c r="G412" s="2">
        <v>1.1666586026549339</v>
      </c>
      <c r="H412" s="2">
        <f t="shared" si="61"/>
        <v>7.2613605974373482E-2</v>
      </c>
      <c r="I412">
        <v>0</v>
      </c>
      <c r="J412" s="2">
        <f t="shared" si="62"/>
        <v>0</v>
      </c>
      <c r="K412" s="2">
        <v>9.7862152382731438E-2</v>
      </c>
      <c r="L412" s="2">
        <f t="shared" si="63"/>
        <v>6.0910053350247779E-3</v>
      </c>
      <c r="M412">
        <v>5</v>
      </c>
      <c r="N412" s="2">
        <f t="shared" si="64"/>
        <v>0.31120331950207469</v>
      </c>
      <c r="O412">
        <v>3</v>
      </c>
      <c r="P412" s="2">
        <f t="shared" si="65"/>
        <v>0.18672199170124482</v>
      </c>
      <c r="Q412" t="s">
        <v>224</v>
      </c>
      <c r="R412" t="s">
        <v>151</v>
      </c>
      <c r="S412">
        <v>1</v>
      </c>
      <c r="T412" s="2">
        <f t="shared" si="66"/>
        <v>6.2240663900414939E-2</v>
      </c>
      <c r="U412" s="2">
        <v>1.1666586026549339</v>
      </c>
      <c r="V412" s="2">
        <f t="shared" si="67"/>
        <v>7.2613605974373482E-2</v>
      </c>
      <c r="W412" s="2">
        <v>5.4206202663481244</v>
      </c>
      <c r="X412" s="2">
        <f t="shared" si="68"/>
        <v>0.33738300412955136</v>
      </c>
      <c r="Y412" s="2">
        <v>5.3378643207252026</v>
      </c>
      <c r="Z412" s="2">
        <f t="shared" si="69"/>
        <v>0.33223221913227402</v>
      </c>
      <c r="AA412">
        <v>2023</v>
      </c>
      <c r="AB412">
        <v>1</v>
      </c>
      <c r="AC412">
        <v>16000000</v>
      </c>
    </row>
    <row r="413" spans="1:29" x14ac:dyDescent="0.2">
      <c r="A413">
        <v>6088</v>
      </c>
      <c r="B413" t="s">
        <v>172</v>
      </c>
      <c r="C413">
        <v>24</v>
      </c>
      <c r="D413">
        <v>2110</v>
      </c>
      <c r="E413">
        <v>1</v>
      </c>
      <c r="F413" s="2">
        <f t="shared" si="60"/>
        <v>4.2654028436018961E-2</v>
      </c>
      <c r="G413" s="2">
        <v>1.160369990393519</v>
      </c>
      <c r="H413" s="2">
        <f t="shared" si="61"/>
        <v>4.9494454566548204E-2</v>
      </c>
      <c r="I413">
        <v>3</v>
      </c>
      <c r="J413" s="2">
        <f t="shared" si="62"/>
        <v>0.12796208530805686</v>
      </c>
      <c r="K413" s="2">
        <v>1.7411156902089719</v>
      </c>
      <c r="L413" s="2">
        <f t="shared" si="63"/>
        <v>7.4265598160572266E-2</v>
      </c>
      <c r="M413">
        <v>25</v>
      </c>
      <c r="N413" s="2">
        <f t="shared" si="64"/>
        <v>1.066350710900474</v>
      </c>
      <c r="O413">
        <v>20</v>
      </c>
      <c r="P413" s="2">
        <f t="shared" si="65"/>
        <v>0.85308056872037918</v>
      </c>
      <c r="Q413" t="s">
        <v>223</v>
      </c>
      <c r="R413" t="s">
        <v>20</v>
      </c>
      <c r="S413">
        <v>1</v>
      </c>
      <c r="T413" s="2">
        <f t="shared" si="66"/>
        <v>4.2654028436018961E-2</v>
      </c>
      <c r="U413" s="2">
        <v>1.160369990393519</v>
      </c>
      <c r="V413" s="2">
        <f t="shared" si="67"/>
        <v>4.9494454566548204E-2</v>
      </c>
      <c r="W413" s="2">
        <v>9.7230538800358755</v>
      </c>
      <c r="X413" s="2">
        <f t="shared" si="68"/>
        <v>0.41472741668399471</v>
      </c>
      <c r="Y413" s="2">
        <v>7.2432828135788441</v>
      </c>
      <c r="Z413" s="2">
        <f t="shared" si="69"/>
        <v>0.30895519110051944</v>
      </c>
      <c r="AA413">
        <v>2020</v>
      </c>
      <c r="AB413">
        <v>0</v>
      </c>
      <c r="AC413">
        <v>22000000</v>
      </c>
    </row>
    <row r="414" spans="1:29" x14ac:dyDescent="0.2">
      <c r="A414">
        <v>6088</v>
      </c>
      <c r="B414" t="s">
        <v>172</v>
      </c>
      <c r="C414">
        <v>28</v>
      </c>
      <c r="D414">
        <v>1878</v>
      </c>
      <c r="E414">
        <v>1</v>
      </c>
      <c r="F414" s="2">
        <f t="shared" si="60"/>
        <v>4.7923322683706075E-2</v>
      </c>
      <c r="G414" s="2">
        <v>2.227731723338366</v>
      </c>
      <c r="H414" s="2">
        <f t="shared" si="61"/>
        <v>0.10676030623027313</v>
      </c>
      <c r="I414">
        <v>3</v>
      </c>
      <c r="J414" s="2">
        <f t="shared" si="62"/>
        <v>0.14376996805111819</v>
      </c>
      <c r="K414" s="2">
        <v>2.769866868853569</v>
      </c>
      <c r="L414" s="2">
        <f t="shared" si="63"/>
        <v>0.13274122374697617</v>
      </c>
      <c r="M414">
        <v>17</v>
      </c>
      <c r="N414" s="2">
        <f t="shared" si="64"/>
        <v>0.81469648562300323</v>
      </c>
      <c r="O414">
        <v>29</v>
      </c>
      <c r="P414" s="2">
        <f t="shared" si="65"/>
        <v>1.389776357827476</v>
      </c>
      <c r="Q414" t="s">
        <v>223</v>
      </c>
      <c r="R414" t="s">
        <v>20</v>
      </c>
      <c r="S414">
        <v>1</v>
      </c>
      <c r="T414" s="2">
        <f t="shared" si="66"/>
        <v>4.7923322683706075E-2</v>
      </c>
      <c r="U414" s="2">
        <v>2.227731723338366</v>
      </c>
      <c r="V414" s="2">
        <f t="shared" si="67"/>
        <v>0.10676030623027313</v>
      </c>
      <c r="W414" s="2">
        <v>5.5710714757442474</v>
      </c>
      <c r="X414" s="2">
        <f t="shared" si="68"/>
        <v>0.26698425602608211</v>
      </c>
      <c r="Y414" s="2">
        <v>2.1066215978935361</v>
      </c>
      <c r="Z414" s="2">
        <f t="shared" si="69"/>
        <v>0.10095630660831643</v>
      </c>
      <c r="AA414">
        <v>2021</v>
      </c>
      <c r="AB414">
        <v>0</v>
      </c>
      <c r="AC414">
        <v>15000000</v>
      </c>
    </row>
    <row r="415" spans="1:29" x14ac:dyDescent="0.2">
      <c r="A415">
        <v>6088</v>
      </c>
      <c r="B415" t="s">
        <v>172</v>
      </c>
      <c r="C415">
        <v>27</v>
      </c>
      <c r="D415">
        <v>1581</v>
      </c>
      <c r="E415">
        <v>1</v>
      </c>
      <c r="F415" s="2">
        <f t="shared" si="60"/>
        <v>5.692599620493359E-2</v>
      </c>
      <c r="G415" s="2">
        <v>0.37294607050716883</v>
      </c>
      <c r="H415" s="2">
        <f t="shared" si="61"/>
        <v>2.1230326594335987E-2</v>
      </c>
      <c r="I415">
        <v>1</v>
      </c>
      <c r="J415" s="2">
        <f t="shared" si="62"/>
        <v>5.692599620493359E-2</v>
      </c>
      <c r="K415" s="2">
        <v>0.42471470683813101</v>
      </c>
      <c r="L415" s="2">
        <f t="shared" si="63"/>
        <v>2.4177307789646926E-2</v>
      </c>
      <c r="M415">
        <v>9</v>
      </c>
      <c r="N415" s="2">
        <f t="shared" si="64"/>
        <v>0.51233396584440227</v>
      </c>
      <c r="O415">
        <v>3</v>
      </c>
      <c r="P415" s="2">
        <f t="shared" si="65"/>
        <v>0.17077798861480076</v>
      </c>
      <c r="Q415" t="s">
        <v>223</v>
      </c>
      <c r="R415" t="s">
        <v>151</v>
      </c>
      <c r="S415">
        <v>1</v>
      </c>
      <c r="T415" s="2">
        <f t="shared" si="66"/>
        <v>5.692599620493359E-2</v>
      </c>
      <c r="U415" s="2">
        <v>0.37294607050716883</v>
      </c>
      <c r="V415" s="2">
        <f t="shared" si="67"/>
        <v>2.1230326594335987E-2</v>
      </c>
      <c r="W415" s="2">
        <v>3.2880424577742819</v>
      </c>
      <c r="X415" s="2">
        <f t="shared" si="68"/>
        <v>0.18717509247291925</v>
      </c>
      <c r="Y415" s="2">
        <v>2.554281054064631</v>
      </c>
      <c r="Z415" s="2">
        <f t="shared" si="69"/>
        <v>0.14540499359001693</v>
      </c>
      <c r="AA415">
        <v>2022</v>
      </c>
      <c r="AB415">
        <v>1</v>
      </c>
      <c r="AC415">
        <v>16000000</v>
      </c>
    </row>
    <row r="416" spans="1:29" x14ac:dyDescent="0.2">
      <c r="A416">
        <v>6088</v>
      </c>
      <c r="B416" t="s">
        <v>172</v>
      </c>
      <c r="C416">
        <v>20</v>
      </c>
      <c r="D416">
        <v>1599</v>
      </c>
      <c r="E416">
        <v>1</v>
      </c>
      <c r="F416" s="2">
        <f t="shared" si="60"/>
        <v>5.6285178236397747E-2</v>
      </c>
      <c r="G416" s="2">
        <v>0.89236022159457207</v>
      </c>
      <c r="H416" s="2">
        <f t="shared" si="61"/>
        <v>5.0226654123521876E-2</v>
      </c>
      <c r="I416">
        <v>0</v>
      </c>
      <c r="J416" s="2">
        <f t="shared" si="62"/>
        <v>0</v>
      </c>
      <c r="K416" s="2">
        <v>0.28679931722581392</v>
      </c>
      <c r="L416" s="2">
        <f t="shared" si="63"/>
        <v>1.6142550688132116E-2</v>
      </c>
      <c r="M416">
        <v>10</v>
      </c>
      <c r="N416" s="2">
        <f t="shared" si="64"/>
        <v>0.56285178236397748</v>
      </c>
      <c r="O416">
        <v>6</v>
      </c>
      <c r="P416" s="2">
        <f t="shared" si="65"/>
        <v>0.33771106941838647</v>
      </c>
      <c r="Q416" t="s">
        <v>223</v>
      </c>
      <c r="R416" t="s">
        <v>151</v>
      </c>
      <c r="S416">
        <v>1</v>
      </c>
      <c r="T416" s="2">
        <f t="shared" si="66"/>
        <v>5.6285178236397747E-2</v>
      </c>
      <c r="U416" s="2">
        <v>0.89236022159457207</v>
      </c>
      <c r="V416" s="2">
        <f t="shared" si="67"/>
        <v>5.0226654123521876E-2</v>
      </c>
      <c r="W416" s="2">
        <v>3.668555378913879</v>
      </c>
      <c r="X416" s="2">
        <f t="shared" si="68"/>
        <v>0.20648529337226337</v>
      </c>
      <c r="Y416" s="2">
        <v>2.8415834624320269</v>
      </c>
      <c r="Z416" s="2">
        <f t="shared" si="69"/>
        <v>0.15993903165658688</v>
      </c>
      <c r="AA416">
        <v>2023</v>
      </c>
      <c r="AB416">
        <v>1</v>
      </c>
      <c r="AC416">
        <v>20000000</v>
      </c>
    </row>
    <row r="417" spans="1:29" x14ac:dyDescent="0.2">
      <c r="A417">
        <v>6100</v>
      </c>
      <c r="B417" t="s">
        <v>173</v>
      </c>
      <c r="C417">
        <v>26</v>
      </c>
      <c r="D417">
        <v>1954</v>
      </c>
      <c r="E417">
        <v>0</v>
      </c>
      <c r="F417" s="2">
        <f t="shared" si="60"/>
        <v>0</v>
      </c>
      <c r="G417" s="2">
        <v>0.14909280091524121</v>
      </c>
      <c r="H417" s="2">
        <f t="shared" si="61"/>
        <v>6.8671197965054801E-3</v>
      </c>
      <c r="I417">
        <v>0</v>
      </c>
      <c r="J417" s="2">
        <f t="shared" si="62"/>
        <v>0</v>
      </c>
      <c r="K417" s="2">
        <v>0.21567480266094211</v>
      </c>
      <c r="L417" s="2">
        <f t="shared" si="63"/>
        <v>9.933844544260384E-3</v>
      </c>
      <c r="M417">
        <v>4</v>
      </c>
      <c r="N417" s="2">
        <f t="shared" si="64"/>
        <v>0.18423746161719551</v>
      </c>
      <c r="O417">
        <v>5</v>
      </c>
      <c r="P417" s="2">
        <f t="shared" si="65"/>
        <v>0.2302968270214944</v>
      </c>
      <c r="Q417" t="s">
        <v>224</v>
      </c>
      <c r="R417" t="s">
        <v>23</v>
      </c>
      <c r="S417">
        <v>0</v>
      </c>
      <c r="T417" s="2">
        <f t="shared" si="66"/>
        <v>0</v>
      </c>
      <c r="U417" s="2">
        <v>0.14909280091524121</v>
      </c>
      <c r="V417" s="2">
        <f t="shared" si="67"/>
        <v>6.8671197965054801E-3</v>
      </c>
      <c r="W417" s="2">
        <v>2.167821697890759</v>
      </c>
      <c r="X417" s="2">
        <f t="shared" si="68"/>
        <v>9.9848491714518067E-2</v>
      </c>
      <c r="Y417" s="2">
        <v>2.1290048947557811</v>
      </c>
      <c r="Z417" s="2">
        <f t="shared" si="69"/>
        <v>9.806061439509739E-2</v>
      </c>
      <c r="AA417">
        <v>2019</v>
      </c>
      <c r="AB417">
        <v>0</v>
      </c>
      <c r="AC417">
        <v>10000000</v>
      </c>
    </row>
    <row r="418" spans="1:29" x14ac:dyDescent="0.2">
      <c r="A418">
        <v>6100</v>
      </c>
      <c r="B418" t="s">
        <v>173</v>
      </c>
      <c r="C418">
        <v>29</v>
      </c>
      <c r="D418">
        <v>2610</v>
      </c>
      <c r="E418">
        <v>1</v>
      </c>
      <c r="F418" s="2">
        <f t="shared" si="60"/>
        <v>3.4482758620689655E-2</v>
      </c>
      <c r="G418" s="2">
        <v>1.388815513812006</v>
      </c>
      <c r="H418" s="2">
        <f t="shared" si="61"/>
        <v>4.7890190131448476E-2</v>
      </c>
      <c r="I418">
        <v>0</v>
      </c>
      <c r="J418" s="2">
        <f t="shared" si="62"/>
        <v>0</v>
      </c>
      <c r="K418" s="2">
        <v>0.17717400379478929</v>
      </c>
      <c r="L418" s="2">
        <f t="shared" si="63"/>
        <v>6.1094484067168719E-3</v>
      </c>
      <c r="M418">
        <v>13</v>
      </c>
      <c r="N418" s="2">
        <f t="shared" si="64"/>
        <v>0.44827586206896552</v>
      </c>
      <c r="O418">
        <v>3</v>
      </c>
      <c r="P418" s="2">
        <f t="shared" si="65"/>
        <v>0.10344827586206896</v>
      </c>
      <c r="Q418" t="s">
        <v>224</v>
      </c>
      <c r="R418" t="s">
        <v>23</v>
      </c>
      <c r="S418">
        <v>1</v>
      </c>
      <c r="T418" s="2">
        <f t="shared" si="66"/>
        <v>3.4482758620689655E-2</v>
      </c>
      <c r="U418" s="2">
        <v>1.388815513812006</v>
      </c>
      <c r="V418" s="2">
        <f t="shared" si="67"/>
        <v>4.7890190131448476E-2</v>
      </c>
      <c r="W418" s="2">
        <v>4.3910786770284176</v>
      </c>
      <c r="X418" s="2">
        <f t="shared" si="68"/>
        <v>0.15141650610442819</v>
      </c>
      <c r="Y418" s="2">
        <v>4.2089440524578086</v>
      </c>
      <c r="Z418" s="2">
        <f t="shared" si="69"/>
        <v>0.14513600180888994</v>
      </c>
      <c r="AA418">
        <v>2020</v>
      </c>
      <c r="AB418">
        <v>0</v>
      </c>
      <c r="AC418">
        <v>16000000</v>
      </c>
    </row>
    <row r="419" spans="1:29" x14ac:dyDescent="0.2">
      <c r="A419">
        <v>6100</v>
      </c>
      <c r="B419" t="s">
        <v>173</v>
      </c>
      <c r="C419">
        <v>13</v>
      </c>
      <c r="D419">
        <v>776</v>
      </c>
      <c r="E419">
        <v>0</v>
      </c>
      <c r="F419" s="2">
        <f t="shared" si="60"/>
        <v>0</v>
      </c>
      <c r="G419" s="2">
        <v>0.15935960039496419</v>
      </c>
      <c r="H419" s="2">
        <f t="shared" si="61"/>
        <v>1.8482427880859249E-2</v>
      </c>
      <c r="I419">
        <v>0</v>
      </c>
      <c r="J419" s="2">
        <f t="shared" si="62"/>
        <v>0</v>
      </c>
      <c r="K419" s="2">
        <v>0</v>
      </c>
      <c r="L419" s="2">
        <f t="shared" si="63"/>
        <v>0</v>
      </c>
      <c r="M419">
        <v>2</v>
      </c>
      <c r="N419" s="2">
        <f t="shared" si="64"/>
        <v>0.23195876288659795</v>
      </c>
      <c r="O419">
        <v>0</v>
      </c>
      <c r="P419" s="2">
        <f t="shared" si="65"/>
        <v>0</v>
      </c>
      <c r="Q419" t="s">
        <v>224</v>
      </c>
      <c r="R419" t="s">
        <v>23</v>
      </c>
      <c r="S419">
        <v>0</v>
      </c>
      <c r="T419" s="2">
        <f t="shared" si="66"/>
        <v>0</v>
      </c>
      <c r="U419" s="2">
        <v>0.15935960039496419</v>
      </c>
      <c r="V419" s="2">
        <f t="shared" si="67"/>
        <v>1.8482427880859249E-2</v>
      </c>
      <c r="W419" s="2">
        <v>0.79455510154366493</v>
      </c>
      <c r="X419" s="2">
        <f t="shared" si="68"/>
        <v>9.2152009199651871E-2</v>
      </c>
      <c r="Y419" s="2">
        <v>0.79455510154366493</v>
      </c>
      <c r="Z419" s="2">
        <f t="shared" si="69"/>
        <v>9.2152009199651871E-2</v>
      </c>
      <c r="AA419">
        <v>2021</v>
      </c>
      <c r="AB419">
        <v>1</v>
      </c>
      <c r="AC419">
        <v>10000000</v>
      </c>
    </row>
    <row r="420" spans="1:29" x14ac:dyDescent="0.2">
      <c r="A420">
        <v>6100</v>
      </c>
      <c r="B420" t="s">
        <v>173</v>
      </c>
      <c r="C420">
        <v>19</v>
      </c>
      <c r="D420">
        <v>1449</v>
      </c>
      <c r="E420">
        <v>0</v>
      </c>
      <c r="F420" s="2">
        <f t="shared" si="60"/>
        <v>0</v>
      </c>
      <c r="G420" s="2">
        <v>0.28108911961317062</v>
      </c>
      <c r="H420" s="2">
        <f t="shared" si="61"/>
        <v>1.7458951528768359E-2</v>
      </c>
      <c r="I420">
        <v>1</v>
      </c>
      <c r="J420" s="2">
        <f t="shared" si="62"/>
        <v>6.2111801242236024E-2</v>
      </c>
      <c r="K420" s="2">
        <v>0.23178673535585401</v>
      </c>
      <c r="L420" s="2">
        <f t="shared" si="63"/>
        <v>1.4396691637009566E-2</v>
      </c>
      <c r="M420">
        <v>4</v>
      </c>
      <c r="N420" s="2">
        <f t="shared" si="64"/>
        <v>0.2484472049689441</v>
      </c>
      <c r="O420">
        <v>3</v>
      </c>
      <c r="P420" s="2">
        <f t="shared" si="65"/>
        <v>0.18633540372670809</v>
      </c>
      <c r="Q420" t="s">
        <v>224</v>
      </c>
      <c r="R420" t="s">
        <v>23</v>
      </c>
      <c r="S420">
        <v>0</v>
      </c>
      <c r="T420" s="2">
        <f t="shared" si="66"/>
        <v>0</v>
      </c>
      <c r="U420" s="2">
        <v>0.28108911961317062</v>
      </c>
      <c r="V420" s="2">
        <f t="shared" si="67"/>
        <v>1.7458951528768359E-2</v>
      </c>
      <c r="W420" s="2">
        <v>1.615872632712126</v>
      </c>
      <c r="X420" s="2">
        <f t="shared" si="68"/>
        <v>0.10036475979578423</v>
      </c>
      <c r="Y420" s="2">
        <v>1.534620832651854</v>
      </c>
      <c r="Z420" s="2">
        <f t="shared" si="69"/>
        <v>9.5318064139866709E-2</v>
      </c>
      <c r="AA420">
        <v>2022</v>
      </c>
      <c r="AB420">
        <v>1</v>
      </c>
      <c r="AC420">
        <v>8500000</v>
      </c>
    </row>
    <row r="421" spans="1:29" x14ac:dyDescent="0.2">
      <c r="A421">
        <v>6136</v>
      </c>
      <c r="B421" t="s">
        <v>174</v>
      </c>
      <c r="C421">
        <v>17</v>
      </c>
      <c r="D421">
        <v>1236</v>
      </c>
      <c r="E421">
        <v>0</v>
      </c>
      <c r="F421" s="2">
        <f t="shared" si="60"/>
        <v>0</v>
      </c>
      <c r="G421" s="2">
        <v>0.39055897295475012</v>
      </c>
      <c r="H421" s="2">
        <f t="shared" si="61"/>
        <v>2.8438760166608019E-2</v>
      </c>
      <c r="I421">
        <v>0</v>
      </c>
      <c r="J421" s="2">
        <f t="shared" si="62"/>
        <v>0</v>
      </c>
      <c r="K421" s="2">
        <v>9.8395302891731262E-2</v>
      </c>
      <c r="L421" s="2">
        <f t="shared" si="63"/>
        <v>7.1647065212425672E-3</v>
      </c>
      <c r="M421">
        <v>3</v>
      </c>
      <c r="N421" s="2">
        <f t="shared" si="64"/>
        <v>0.21844660194174756</v>
      </c>
      <c r="O421">
        <v>2</v>
      </c>
      <c r="P421" s="2">
        <f t="shared" si="65"/>
        <v>0.14563106796116507</v>
      </c>
      <c r="Q421" t="s">
        <v>224</v>
      </c>
      <c r="R421" t="s">
        <v>175</v>
      </c>
      <c r="S421">
        <v>0</v>
      </c>
      <c r="T421" s="2">
        <f t="shared" si="66"/>
        <v>0</v>
      </c>
      <c r="U421" s="2">
        <v>0.39055897295475012</v>
      </c>
      <c r="V421" s="2">
        <f t="shared" si="67"/>
        <v>2.8438760166608019E-2</v>
      </c>
      <c r="W421" s="2">
        <v>3.289635948836803</v>
      </c>
      <c r="X421" s="2">
        <f t="shared" si="68"/>
        <v>0.23953659821627207</v>
      </c>
      <c r="Y421" s="2">
        <v>3.1850413531064992</v>
      </c>
      <c r="Z421" s="2">
        <f t="shared" si="69"/>
        <v>0.23192048687668682</v>
      </c>
      <c r="AA421">
        <v>2019</v>
      </c>
      <c r="AB421">
        <v>0</v>
      </c>
      <c r="AC421">
        <v>20000000</v>
      </c>
    </row>
    <row r="422" spans="1:29" x14ac:dyDescent="0.2">
      <c r="A422">
        <v>6136</v>
      </c>
      <c r="B422" t="s">
        <v>174</v>
      </c>
      <c r="C422">
        <v>31</v>
      </c>
      <c r="D422">
        <v>2589</v>
      </c>
      <c r="E422">
        <v>1</v>
      </c>
      <c r="F422" s="2">
        <f t="shared" si="60"/>
        <v>3.4762456546929318E-2</v>
      </c>
      <c r="G422" s="2">
        <v>1.125596518628299</v>
      </c>
      <c r="H422" s="2">
        <f t="shared" si="61"/>
        <v>3.9128500068191158E-2</v>
      </c>
      <c r="I422">
        <v>1</v>
      </c>
      <c r="J422" s="2">
        <f t="shared" si="62"/>
        <v>3.4762456546929318E-2</v>
      </c>
      <c r="K422" s="2">
        <v>0.65680530853569508</v>
      </c>
      <c r="L422" s="2">
        <f t="shared" si="63"/>
        <v>2.2832165997764602E-2</v>
      </c>
      <c r="M422">
        <v>18</v>
      </c>
      <c r="N422" s="2">
        <f t="shared" si="64"/>
        <v>0.62572421784472765</v>
      </c>
      <c r="O422">
        <v>11</v>
      </c>
      <c r="P422" s="2">
        <f t="shared" si="65"/>
        <v>0.38238702201622249</v>
      </c>
      <c r="Q422" t="s">
        <v>224</v>
      </c>
      <c r="R422" t="s">
        <v>175</v>
      </c>
      <c r="S422">
        <v>1</v>
      </c>
      <c r="T422" s="2">
        <f t="shared" si="66"/>
        <v>3.4762456546929318E-2</v>
      </c>
      <c r="U422" s="2">
        <v>1.125596518628299</v>
      </c>
      <c r="V422" s="2">
        <f t="shared" si="67"/>
        <v>3.9128500068191158E-2</v>
      </c>
      <c r="W422" s="2">
        <v>9.7113453242927807</v>
      </c>
      <c r="X422" s="2">
        <f t="shared" si="68"/>
        <v>0.33759021984795295</v>
      </c>
      <c r="Y422" s="2">
        <v>9.0594862047582865</v>
      </c>
      <c r="Z422" s="2">
        <f t="shared" si="69"/>
        <v>0.31492999553041551</v>
      </c>
      <c r="AA422">
        <v>2020</v>
      </c>
      <c r="AB422">
        <v>0</v>
      </c>
      <c r="AC422">
        <v>35000000</v>
      </c>
    </row>
    <row r="423" spans="1:29" x14ac:dyDescent="0.2">
      <c r="A423">
        <v>6136</v>
      </c>
      <c r="B423" t="s">
        <v>174</v>
      </c>
      <c r="C423">
        <v>26</v>
      </c>
      <c r="D423">
        <v>1874</v>
      </c>
      <c r="E423">
        <v>2</v>
      </c>
      <c r="F423" s="2">
        <f t="shared" si="60"/>
        <v>9.6051227321237997E-2</v>
      </c>
      <c r="G423" s="2">
        <v>2.0724501283839341</v>
      </c>
      <c r="H423" s="2">
        <f t="shared" si="61"/>
        <v>9.9530689196667063E-2</v>
      </c>
      <c r="I423">
        <v>1</v>
      </c>
      <c r="J423" s="2">
        <f t="shared" si="62"/>
        <v>4.8025613660618999E-2</v>
      </c>
      <c r="K423" s="2">
        <v>0.613714509177953</v>
      </c>
      <c r="L423" s="2">
        <f t="shared" si="63"/>
        <v>2.9474015915696782E-2</v>
      </c>
      <c r="M423">
        <v>17</v>
      </c>
      <c r="N423" s="2">
        <f t="shared" si="64"/>
        <v>0.81643543223052295</v>
      </c>
      <c r="O423">
        <v>9</v>
      </c>
      <c r="P423" s="2">
        <f t="shared" si="65"/>
        <v>0.43223052294557096</v>
      </c>
      <c r="Q423" t="s">
        <v>224</v>
      </c>
      <c r="R423" t="s">
        <v>175</v>
      </c>
      <c r="S423">
        <v>2</v>
      </c>
      <c r="T423" s="2">
        <f t="shared" si="66"/>
        <v>9.6051227321237997E-2</v>
      </c>
      <c r="U423" s="2">
        <v>2.0724501283839341</v>
      </c>
      <c r="V423" s="2">
        <f t="shared" si="67"/>
        <v>9.9530689196667063E-2</v>
      </c>
      <c r="W423" s="2">
        <v>8.8299009557813406</v>
      </c>
      <c r="X423" s="2">
        <f t="shared" si="68"/>
        <v>0.42406141196388508</v>
      </c>
      <c r="Y423" s="2">
        <v>7.3809134643524876</v>
      </c>
      <c r="Z423" s="2">
        <f t="shared" si="69"/>
        <v>0.35447289850145353</v>
      </c>
      <c r="AA423">
        <v>2021</v>
      </c>
      <c r="AB423">
        <v>1</v>
      </c>
      <c r="AC423">
        <v>20000000</v>
      </c>
    </row>
    <row r="424" spans="1:29" x14ac:dyDescent="0.2">
      <c r="A424">
        <v>6136</v>
      </c>
      <c r="B424" t="s">
        <v>174</v>
      </c>
      <c r="C424">
        <v>26</v>
      </c>
      <c r="D424">
        <v>2110</v>
      </c>
      <c r="E424">
        <v>3</v>
      </c>
      <c r="F424" s="2">
        <f t="shared" si="60"/>
        <v>0.12796208530805686</v>
      </c>
      <c r="G424" s="2">
        <v>2.931158736813813</v>
      </c>
      <c r="H424" s="2">
        <f t="shared" si="61"/>
        <v>0.1250257281105418</v>
      </c>
      <c r="I424">
        <v>2</v>
      </c>
      <c r="J424" s="2">
        <f t="shared" si="62"/>
        <v>8.5308056872037921E-2</v>
      </c>
      <c r="K424" s="2">
        <v>2.0144598428159952</v>
      </c>
      <c r="L424" s="2">
        <f t="shared" si="63"/>
        <v>8.5924827418691729E-2</v>
      </c>
      <c r="M424">
        <v>15</v>
      </c>
      <c r="N424" s="2">
        <f t="shared" si="64"/>
        <v>0.6398104265402843</v>
      </c>
      <c r="O424">
        <v>14</v>
      </c>
      <c r="P424" s="2">
        <f t="shared" si="65"/>
        <v>0.59715639810426535</v>
      </c>
      <c r="Q424" t="s">
        <v>224</v>
      </c>
      <c r="R424" t="s">
        <v>175</v>
      </c>
      <c r="S424">
        <v>3</v>
      </c>
      <c r="T424" s="2">
        <f t="shared" si="66"/>
        <v>0.12796208530805686</v>
      </c>
      <c r="U424" s="2">
        <v>2.931158736813813</v>
      </c>
      <c r="V424" s="2">
        <f t="shared" si="67"/>
        <v>0.1250257281105418</v>
      </c>
      <c r="W424" s="2">
        <v>12.60046132653952</v>
      </c>
      <c r="X424" s="2">
        <f t="shared" si="68"/>
        <v>0.5374604357291739</v>
      </c>
      <c r="Y424" s="2">
        <v>11.59821014106274</v>
      </c>
      <c r="Z424" s="2">
        <f t="shared" si="69"/>
        <v>0.49471038516381355</v>
      </c>
      <c r="AA424">
        <v>2022</v>
      </c>
      <c r="AB424">
        <v>1</v>
      </c>
      <c r="AC424">
        <v>20000000</v>
      </c>
    </row>
    <row r="425" spans="1:29" x14ac:dyDescent="0.2">
      <c r="A425">
        <v>6163</v>
      </c>
      <c r="B425" t="s">
        <v>176</v>
      </c>
      <c r="C425">
        <v>26</v>
      </c>
      <c r="D425">
        <v>1603</v>
      </c>
      <c r="E425">
        <v>1</v>
      </c>
      <c r="F425" s="2">
        <f t="shared" si="60"/>
        <v>5.6144728633811605E-2</v>
      </c>
      <c r="G425" s="2">
        <v>0.35981000028550619</v>
      </c>
      <c r="H425" s="2">
        <f t="shared" si="61"/>
        <v>2.0201434825761422E-2</v>
      </c>
      <c r="I425">
        <v>0</v>
      </c>
      <c r="J425" s="2">
        <f t="shared" si="62"/>
        <v>0</v>
      </c>
      <c r="K425" s="2">
        <v>0.2876764964312315</v>
      </c>
      <c r="L425" s="2">
        <f t="shared" si="63"/>
        <v>1.6151518826457163E-2</v>
      </c>
      <c r="M425">
        <v>6</v>
      </c>
      <c r="N425" s="2">
        <f t="shared" si="64"/>
        <v>0.3368683718028696</v>
      </c>
      <c r="O425">
        <v>4</v>
      </c>
      <c r="P425" s="2">
        <f t="shared" si="65"/>
        <v>0.22457891453524642</v>
      </c>
      <c r="Q425" t="s">
        <v>224</v>
      </c>
      <c r="R425" t="s">
        <v>129</v>
      </c>
      <c r="S425">
        <v>1</v>
      </c>
      <c r="T425" s="2">
        <f t="shared" si="66"/>
        <v>5.6144728633811605E-2</v>
      </c>
      <c r="U425" s="2">
        <v>0.35981000028550619</v>
      </c>
      <c r="V425" s="2">
        <f t="shared" si="67"/>
        <v>2.0201434825761422E-2</v>
      </c>
      <c r="W425" s="2">
        <v>7.2588247377425432</v>
      </c>
      <c r="X425" s="2">
        <f t="shared" si="68"/>
        <v>0.40754474510095373</v>
      </c>
      <c r="Y425" s="2">
        <v>6.8082217890769243</v>
      </c>
      <c r="Z425" s="2">
        <f t="shared" si="69"/>
        <v>0.38224576482652722</v>
      </c>
      <c r="AA425">
        <v>2018</v>
      </c>
      <c r="AB425">
        <v>0</v>
      </c>
      <c r="AC425">
        <v>40000000</v>
      </c>
    </row>
    <row r="426" spans="1:29" x14ac:dyDescent="0.2">
      <c r="A426">
        <v>6163</v>
      </c>
      <c r="B426" t="s">
        <v>176</v>
      </c>
      <c r="C426">
        <v>32</v>
      </c>
      <c r="D426">
        <v>2097</v>
      </c>
      <c r="E426">
        <v>1</v>
      </c>
      <c r="F426" s="2">
        <f t="shared" si="60"/>
        <v>4.2918454935622317E-2</v>
      </c>
      <c r="G426" s="2">
        <v>0.67468119226396084</v>
      </c>
      <c r="H426" s="2">
        <f t="shared" si="61"/>
        <v>2.8956274346092742E-2</v>
      </c>
      <c r="I426">
        <v>2</v>
      </c>
      <c r="J426" s="2">
        <f t="shared" si="62"/>
        <v>8.5836909871244635E-2</v>
      </c>
      <c r="K426" s="2">
        <v>2.262861916795373</v>
      </c>
      <c r="L426" s="2">
        <f t="shared" si="63"/>
        <v>9.7118537201518154E-2</v>
      </c>
      <c r="M426">
        <v>8</v>
      </c>
      <c r="N426" s="2">
        <f t="shared" si="64"/>
        <v>0.34334763948497854</v>
      </c>
      <c r="O426">
        <v>12</v>
      </c>
      <c r="P426" s="2">
        <f t="shared" si="65"/>
        <v>0.51502145922746778</v>
      </c>
      <c r="Q426" t="s">
        <v>224</v>
      </c>
      <c r="R426" t="s">
        <v>129</v>
      </c>
      <c r="S426">
        <v>1</v>
      </c>
      <c r="T426" s="2">
        <f t="shared" si="66"/>
        <v>4.2918454935622317E-2</v>
      </c>
      <c r="U426" s="2">
        <v>0.67468119226396084</v>
      </c>
      <c r="V426" s="2">
        <f t="shared" si="67"/>
        <v>2.8956274346092742E-2</v>
      </c>
      <c r="W426" s="2">
        <v>9.9156629964709282</v>
      </c>
      <c r="X426" s="2">
        <f t="shared" si="68"/>
        <v>0.42556493547085533</v>
      </c>
      <c r="Y426" s="2">
        <v>8.5823659598827362</v>
      </c>
      <c r="Z426" s="2">
        <f t="shared" si="69"/>
        <v>0.3683418866902462</v>
      </c>
      <c r="AA426">
        <v>2019</v>
      </c>
      <c r="AB426">
        <v>0</v>
      </c>
      <c r="AC426">
        <v>40000000</v>
      </c>
    </row>
    <row r="427" spans="1:29" x14ac:dyDescent="0.2">
      <c r="A427">
        <v>6163</v>
      </c>
      <c r="B427" t="s">
        <v>176</v>
      </c>
      <c r="C427">
        <v>34</v>
      </c>
      <c r="D427">
        <v>2994</v>
      </c>
      <c r="E427">
        <v>1</v>
      </c>
      <c r="F427" s="2">
        <f t="shared" si="60"/>
        <v>3.0060120240480964E-2</v>
      </c>
      <c r="G427" s="2">
        <v>1.309736598283052</v>
      </c>
      <c r="H427" s="2">
        <f t="shared" si="61"/>
        <v>3.9370839627747053E-2</v>
      </c>
      <c r="I427">
        <v>1</v>
      </c>
      <c r="J427" s="2">
        <f t="shared" si="62"/>
        <v>3.0060120240480964E-2</v>
      </c>
      <c r="K427" s="2">
        <v>0.90279810689389717</v>
      </c>
      <c r="L427" s="2">
        <f t="shared" si="63"/>
        <v>2.7138219646109137E-2</v>
      </c>
      <c r="M427">
        <v>23</v>
      </c>
      <c r="N427" s="2">
        <f t="shared" si="64"/>
        <v>0.69138276553106204</v>
      </c>
      <c r="O427">
        <v>20</v>
      </c>
      <c r="P427" s="2">
        <f t="shared" si="65"/>
        <v>0.60120240480961928</v>
      </c>
      <c r="Q427" t="s">
        <v>224</v>
      </c>
      <c r="R427" t="s">
        <v>85</v>
      </c>
      <c r="S427">
        <v>1</v>
      </c>
      <c r="T427" s="2">
        <f t="shared" si="66"/>
        <v>3.0060120240480964E-2</v>
      </c>
      <c r="U427" s="2">
        <v>1.309736598283052</v>
      </c>
      <c r="V427" s="2">
        <f t="shared" si="67"/>
        <v>3.9370839627747053E-2</v>
      </c>
      <c r="W427" s="2">
        <v>7.68634950555861</v>
      </c>
      <c r="X427" s="2">
        <f t="shared" si="68"/>
        <v>0.23105259034745321</v>
      </c>
      <c r="Y427" s="2">
        <v>6.1962722949683666</v>
      </c>
      <c r="Z427" s="2">
        <f t="shared" si="69"/>
        <v>0.18626069022951003</v>
      </c>
      <c r="AA427">
        <v>2020</v>
      </c>
      <c r="AB427">
        <v>1</v>
      </c>
      <c r="AC427">
        <v>28000000</v>
      </c>
    </row>
    <row r="428" spans="1:29" x14ac:dyDescent="0.2">
      <c r="A428">
        <v>6163</v>
      </c>
      <c r="B428" t="s">
        <v>176</v>
      </c>
      <c r="C428">
        <v>25</v>
      </c>
      <c r="D428">
        <v>2151</v>
      </c>
      <c r="E428">
        <v>0</v>
      </c>
      <c r="F428" s="2">
        <f t="shared" si="60"/>
        <v>0</v>
      </c>
      <c r="G428" s="2">
        <v>1.39017566666007</v>
      </c>
      <c r="H428" s="2">
        <f t="shared" si="61"/>
        <v>5.8166345885358579E-2</v>
      </c>
      <c r="I428">
        <v>1</v>
      </c>
      <c r="J428" s="2">
        <f t="shared" si="62"/>
        <v>4.1841004184100417E-2</v>
      </c>
      <c r="K428" s="2">
        <v>1.3628809936344619</v>
      </c>
      <c r="L428" s="2">
        <f t="shared" si="63"/>
        <v>5.702430935709045E-2</v>
      </c>
      <c r="M428">
        <v>19</v>
      </c>
      <c r="N428" s="2">
        <f t="shared" si="64"/>
        <v>0.79497907949790791</v>
      </c>
      <c r="O428">
        <v>18</v>
      </c>
      <c r="P428" s="2">
        <f t="shared" si="65"/>
        <v>0.7531380753138075</v>
      </c>
      <c r="Q428" t="s">
        <v>224</v>
      </c>
      <c r="R428" t="s">
        <v>85</v>
      </c>
      <c r="S428">
        <v>0</v>
      </c>
      <c r="T428" s="2">
        <f t="shared" si="66"/>
        <v>0</v>
      </c>
      <c r="U428" s="2">
        <v>1.39017566666007</v>
      </c>
      <c r="V428" s="2">
        <f t="shared" si="67"/>
        <v>5.8166345885358579E-2</v>
      </c>
      <c r="W428" s="2">
        <v>5.2916870908811688</v>
      </c>
      <c r="X428" s="2">
        <f t="shared" si="68"/>
        <v>0.22140950171050916</v>
      </c>
      <c r="Y428" s="2">
        <v>2.8525946140289311</v>
      </c>
      <c r="Z428" s="2">
        <f t="shared" si="69"/>
        <v>0.11935542318112682</v>
      </c>
      <c r="AA428">
        <v>2021</v>
      </c>
      <c r="AB428">
        <v>1</v>
      </c>
      <c r="AC428">
        <v>22000000</v>
      </c>
    </row>
    <row r="429" spans="1:29" x14ac:dyDescent="0.2">
      <c r="A429">
        <v>6174</v>
      </c>
      <c r="B429" t="s">
        <v>177</v>
      </c>
      <c r="C429">
        <v>16</v>
      </c>
      <c r="D429">
        <v>1254</v>
      </c>
      <c r="E429">
        <v>0</v>
      </c>
      <c r="F429" s="2">
        <f t="shared" si="60"/>
        <v>0</v>
      </c>
      <c r="G429" s="2">
        <v>0.6128762848675251</v>
      </c>
      <c r="H429" s="2">
        <f t="shared" si="61"/>
        <v>4.398633623451137E-2</v>
      </c>
      <c r="I429">
        <v>0</v>
      </c>
      <c r="J429" s="2">
        <f t="shared" si="62"/>
        <v>0</v>
      </c>
      <c r="K429" s="2">
        <v>9.8980901762843118E-2</v>
      </c>
      <c r="L429" s="2">
        <f t="shared" si="63"/>
        <v>7.1038924710174487E-3</v>
      </c>
      <c r="M429">
        <v>9</v>
      </c>
      <c r="N429" s="2">
        <f t="shared" si="64"/>
        <v>0.64593301435406703</v>
      </c>
      <c r="O429">
        <v>3</v>
      </c>
      <c r="P429" s="2">
        <f t="shared" si="65"/>
        <v>0.21531100478468898</v>
      </c>
      <c r="Q429" t="s">
        <v>224</v>
      </c>
      <c r="R429" t="s">
        <v>43</v>
      </c>
      <c r="S429">
        <v>0</v>
      </c>
      <c r="T429" s="2">
        <f t="shared" si="66"/>
        <v>0</v>
      </c>
      <c r="U429" s="2">
        <v>0.6128762848675251</v>
      </c>
      <c r="V429" s="2">
        <f t="shared" si="67"/>
        <v>4.398633623451137E-2</v>
      </c>
      <c r="W429" s="2">
        <v>3.2905710879713301</v>
      </c>
      <c r="X429" s="2">
        <f t="shared" si="68"/>
        <v>0.23616538908885146</v>
      </c>
      <c r="Y429" s="2">
        <v>3.2237281855195761</v>
      </c>
      <c r="Z429" s="2">
        <f t="shared" si="69"/>
        <v>0.23136805159231405</v>
      </c>
      <c r="AA429">
        <v>2017</v>
      </c>
      <c r="AB429">
        <v>0</v>
      </c>
      <c r="AC429">
        <v>15000000</v>
      </c>
    </row>
    <row r="430" spans="1:29" x14ac:dyDescent="0.2">
      <c r="A430">
        <v>6174</v>
      </c>
      <c r="B430" t="s">
        <v>177</v>
      </c>
      <c r="C430">
        <v>34</v>
      </c>
      <c r="D430">
        <v>3009</v>
      </c>
      <c r="E430">
        <v>3</v>
      </c>
      <c r="F430" s="2">
        <f t="shared" si="60"/>
        <v>8.9730807577268187E-2</v>
      </c>
      <c r="G430" s="2">
        <v>2.6592822708189492</v>
      </c>
      <c r="H430" s="2">
        <f t="shared" si="61"/>
        <v>7.9539848578831979E-2</v>
      </c>
      <c r="I430">
        <v>0</v>
      </c>
      <c r="J430" s="2">
        <f t="shared" si="62"/>
        <v>0</v>
      </c>
      <c r="K430" s="2">
        <v>0.1937739010900259</v>
      </c>
      <c r="L430" s="2">
        <f t="shared" si="63"/>
        <v>5.7958295440685712E-3</v>
      </c>
      <c r="M430">
        <v>29</v>
      </c>
      <c r="N430" s="2">
        <f t="shared" si="64"/>
        <v>0.86739780658025922</v>
      </c>
      <c r="O430">
        <v>4</v>
      </c>
      <c r="P430" s="2">
        <f t="shared" si="65"/>
        <v>0.11964107676969092</v>
      </c>
      <c r="Q430" t="s">
        <v>224</v>
      </c>
      <c r="R430" t="s">
        <v>43</v>
      </c>
      <c r="S430">
        <v>3</v>
      </c>
      <c r="T430" s="2">
        <f t="shared" si="66"/>
        <v>8.9730807577268187E-2</v>
      </c>
      <c r="U430" s="2">
        <v>2.6592822708189492</v>
      </c>
      <c r="V430" s="2">
        <f t="shared" si="67"/>
        <v>7.9539848578831979E-2</v>
      </c>
      <c r="W430" s="2">
        <v>6.2669140584766856</v>
      </c>
      <c r="X430" s="2">
        <f t="shared" si="68"/>
        <v>0.18744508649481612</v>
      </c>
      <c r="Y430" s="2">
        <v>5.300252478569746</v>
      </c>
      <c r="Z430" s="2">
        <f t="shared" si="69"/>
        <v>0.1585319784218269</v>
      </c>
      <c r="AA430">
        <v>2018</v>
      </c>
      <c r="AB430">
        <v>0</v>
      </c>
      <c r="AC430">
        <v>30000000</v>
      </c>
    </row>
    <row r="431" spans="1:29" x14ac:dyDescent="0.2">
      <c r="A431">
        <v>6174</v>
      </c>
      <c r="B431" t="s">
        <v>177</v>
      </c>
      <c r="C431">
        <v>37</v>
      </c>
      <c r="D431">
        <v>3257</v>
      </c>
      <c r="E431">
        <v>5</v>
      </c>
      <c r="F431" s="2">
        <f t="shared" si="60"/>
        <v>0.1381639545594105</v>
      </c>
      <c r="G431" s="2">
        <v>2.193371281959116</v>
      </c>
      <c r="H431" s="2">
        <f t="shared" si="61"/>
        <v>6.0608970026503055E-2</v>
      </c>
      <c r="I431">
        <v>0</v>
      </c>
      <c r="J431" s="2">
        <f t="shared" si="62"/>
        <v>0</v>
      </c>
      <c r="K431" s="2">
        <v>0.2161320969462395</v>
      </c>
      <c r="L431" s="2">
        <f t="shared" si="63"/>
        <v>5.9723330442620678E-3</v>
      </c>
      <c r="M431">
        <v>29</v>
      </c>
      <c r="N431" s="2">
        <f t="shared" si="64"/>
        <v>0.80135093644458089</v>
      </c>
      <c r="O431">
        <v>8</v>
      </c>
      <c r="P431" s="2">
        <f t="shared" si="65"/>
        <v>0.22106232729505682</v>
      </c>
      <c r="Q431" t="s">
        <v>224</v>
      </c>
      <c r="R431" t="s">
        <v>43</v>
      </c>
      <c r="S431">
        <v>5</v>
      </c>
      <c r="T431" s="2">
        <f t="shared" si="66"/>
        <v>0.1381639545594105</v>
      </c>
      <c r="U431" s="2">
        <v>2.193371281959116</v>
      </c>
      <c r="V431" s="2">
        <f t="shared" si="67"/>
        <v>6.0608970026503055E-2</v>
      </c>
      <c r="W431" s="2">
        <v>7.379016974940896</v>
      </c>
      <c r="X431" s="2">
        <f t="shared" si="68"/>
        <v>0.20390283320377053</v>
      </c>
      <c r="Y431" s="2">
        <v>7.0303941275924444</v>
      </c>
      <c r="Z431" s="2">
        <f t="shared" si="69"/>
        <v>0.19426941095588576</v>
      </c>
      <c r="AA431">
        <v>2019</v>
      </c>
      <c r="AB431">
        <v>1</v>
      </c>
      <c r="AC431">
        <v>28000000</v>
      </c>
    </row>
    <row r="432" spans="1:29" x14ac:dyDescent="0.2">
      <c r="A432">
        <v>6174</v>
      </c>
      <c r="B432" t="s">
        <v>177</v>
      </c>
      <c r="C432">
        <v>34</v>
      </c>
      <c r="D432">
        <v>3038</v>
      </c>
      <c r="E432">
        <v>3</v>
      </c>
      <c r="F432" s="2">
        <f t="shared" si="60"/>
        <v>8.8874259381171827E-2</v>
      </c>
      <c r="G432" s="2">
        <v>3.9402421843260531</v>
      </c>
      <c r="H432" s="2">
        <f t="shared" si="61"/>
        <v>0.11672870197147622</v>
      </c>
      <c r="I432">
        <v>1</v>
      </c>
      <c r="J432" s="2">
        <f t="shared" si="62"/>
        <v>2.9624753127057275E-2</v>
      </c>
      <c r="K432" s="2">
        <v>0.65311508625745773</v>
      </c>
      <c r="L432" s="2">
        <f t="shared" si="63"/>
        <v>1.9348373193933902E-2</v>
      </c>
      <c r="M432">
        <v>22</v>
      </c>
      <c r="N432" s="2">
        <f t="shared" si="64"/>
        <v>0.65174456879525999</v>
      </c>
      <c r="O432">
        <v>7</v>
      </c>
      <c r="P432" s="2">
        <f t="shared" si="65"/>
        <v>0.20737327188940091</v>
      </c>
      <c r="Q432" t="s">
        <v>224</v>
      </c>
      <c r="R432" t="s">
        <v>43</v>
      </c>
      <c r="S432">
        <v>3</v>
      </c>
      <c r="T432" s="2">
        <f t="shared" si="66"/>
        <v>8.8874259381171827E-2</v>
      </c>
      <c r="U432" s="2">
        <v>3.9402421843260531</v>
      </c>
      <c r="V432" s="2">
        <f t="shared" si="67"/>
        <v>0.11672870197147622</v>
      </c>
      <c r="W432" s="2">
        <v>8.420009296387434</v>
      </c>
      <c r="X432" s="2">
        <f t="shared" si="68"/>
        <v>0.24944069673300495</v>
      </c>
      <c r="Y432" s="2">
        <v>6.1813518758863211</v>
      </c>
      <c r="Z432" s="2">
        <f t="shared" si="69"/>
        <v>0.18312102331460464</v>
      </c>
      <c r="AA432">
        <v>2020</v>
      </c>
      <c r="AB432">
        <v>1</v>
      </c>
      <c r="AC432">
        <v>25000000</v>
      </c>
    </row>
    <row r="433" spans="1:29" x14ac:dyDescent="0.2">
      <c r="A433">
        <v>6221</v>
      </c>
      <c r="B433" t="s">
        <v>178</v>
      </c>
      <c r="C433">
        <v>33</v>
      </c>
      <c r="D433">
        <v>2862</v>
      </c>
      <c r="E433">
        <v>5</v>
      </c>
      <c r="F433" s="2">
        <f t="shared" si="60"/>
        <v>0.15723270440251572</v>
      </c>
      <c r="G433" s="2">
        <v>4.8094958961009979</v>
      </c>
      <c r="H433" s="2">
        <f t="shared" si="61"/>
        <v>0.15124200931135212</v>
      </c>
      <c r="I433">
        <v>1</v>
      </c>
      <c r="J433" s="2">
        <f t="shared" si="62"/>
        <v>3.1446540880503145E-2</v>
      </c>
      <c r="K433" s="2">
        <v>2.17404250241816</v>
      </c>
      <c r="L433" s="2">
        <f t="shared" si="63"/>
        <v>6.8366116428244028E-2</v>
      </c>
      <c r="M433">
        <v>24</v>
      </c>
      <c r="N433" s="2">
        <f t="shared" si="64"/>
        <v>0.75471698113207553</v>
      </c>
      <c r="O433">
        <v>9</v>
      </c>
      <c r="P433" s="2">
        <f t="shared" si="65"/>
        <v>0.28301886792452829</v>
      </c>
      <c r="Q433" t="s">
        <v>224</v>
      </c>
      <c r="R433" t="s">
        <v>150</v>
      </c>
      <c r="S433">
        <v>5</v>
      </c>
      <c r="T433" s="2">
        <f t="shared" si="66"/>
        <v>0.15723270440251572</v>
      </c>
      <c r="U433" s="2">
        <v>4.8094958961009979</v>
      </c>
      <c r="V433" s="2">
        <f t="shared" si="67"/>
        <v>0.15124200931135212</v>
      </c>
      <c r="W433" s="2">
        <v>12.09699603915214</v>
      </c>
      <c r="X433" s="2">
        <f t="shared" si="68"/>
        <v>0.38040868047648241</v>
      </c>
      <c r="Y433" s="2">
        <v>11.95324153453112</v>
      </c>
      <c r="Z433" s="2">
        <f t="shared" si="69"/>
        <v>0.37588809857016098</v>
      </c>
      <c r="AA433">
        <v>2021</v>
      </c>
      <c r="AB433">
        <v>0</v>
      </c>
      <c r="AC433">
        <v>50000000</v>
      </c>
    </row>
    <row r="434" spans="1:29" x14ac:dyDescent="0.2">
      <c r="A434">
        <v>6221</v>
      </c>
      <c r="B434" t="s">
        <v>178</v>
      </c>
      <c r="C434">
        <v>34</v>
      </c>
      <c r="D434">
        <v>3055</v>
      </c>
      <c r="E434">
        <v>1</v>
      </c>
      <c r="F434" s="2">
        <f t="shared" si="60"/>
        <v>2.9459901800327336E-2</v>
      </c>
      <c r="G434" s="2">
        <v>2.11854893900454</v>
      </c>
      <c r="H434" s="2">
        <f t="shared" si="61"/>
        <v>6.2412243702261408E-2</v>
      </c>
      <c r="I434">
        <v>0</v>
      </c>
      <c r="J434" s="2">
        <f t="shared" si="62"/>
        <v>0</v>
      </c>
      <c r="K434" s="2">
        <v>1.135626368224621</v>
      </c>
      <c r="L434" s="2">
        <f t="shared" si="63"/>
        <v>3.3455441289759705E-2</v>
      </c>
      <c r="M434">
        <v>12</v>
      </c>
      <c r="N434" s="2">
        <f t="shared" si="64"/>
        <v>0.35351882160392795</v>
      </c>
      <c r="O434">
        <v>14</v>
      </c>
      <c r="P434" s="2">
        <f t="shared" si="65"/>
        <v>0.41243862520458263</v>
      </c>
      <c r="Q434" t="s">
        <v>224</v>
      </c>
      <c r="R434" t="s">
        <v>150</v>
      </c>
      <c r="S434">
        <v>1</v>
      </c>
      <c r="T434" s="2">
        <f t="shared" si="66"/>
        <v>2.9459901800327336E-2</v>
      </c>
      <c r="U434" s="2">
        <v>2.11854893900454</v>
      </c>
      <c r="V434" s="2">
        <f t="shared" si="67"/>
        <v>6.2412243702261408E-2</v>
      </c>
      <c r="W434" s="2">
        <v>15.15655126329511</v>
      </c>
      <c r="X434" s="2">
        <f t="shared" si="68"/>
        <v>0.44651051184830115</v>
      </c>
      <c r="Y434" s="2">
        <v>14.86895012389868</v>
      </c>
      <c r="Z434" s="2">
        <f t="shared" si="69"/>
        <v>0.43803781052402002</v>
      </c>
      <c r="AA434">
        <v>2022</v>
      </c>
      <c r="AB434">
        <v>0</v>
      </c>
      <c r="AC434">
        <v>45000000</v>
      </c>
    </row>
    <row r="435" spans="1:29" x14ac:dyDescent="0.2">
      <c r="A435">
        <v>6221</v>
      </c>
      <c r="B435" t="s">
        <v>178</v>
      </c>
      <c r="C435">
        <v>29</v>
      </c>
      <c r="D435">
        <v>2467</v>
      </c>
      <c r="E435">
        <v>2</v>
      </c>
      <c r="F435" s="2">
        <f t="shared" si="60"/>
        <v>7.2963113092825299E-2</v>
      </c>
      <c r="G435" s="2">
        <v>1.5308636222034691</v>
      </c>
      <c r="H435" s="2">
        <f t="shared" si="61"/>
        <v>5.5848287798261946E-2</v>
      </c>
      <c r="I435">
        <v>0</v>
      </c>
      <c r="J435" s="2">
        <f t="shared" si="62"/>
        <v>0</v>
      </c>
      <c r="K435" s="2">
        <v>0.62266285438090563</v>
      </c>
      <c r="L435" s="2">
        <f t="shared" si="63"/>
        <v>2.2715710131447714E-2</v>
      </c>
      <c r="M435">
        <v>12</v>
      </c>
      <c r="N435" s="2">
        <f t="shared" si="64"/>
        <v>0.43777867855695179</v>
      </c>
      <c r="O435">
        <v>8</v>
      </c>
      <c r="P435" s="2">
        <f t="shared" si="65"/>
        <v>0.2918524523713012</v>
      </c>
      <c r="Q435" t="s">
        <v>224</v>
      </c>
      <c r="R435" t="s">
        <v>126</v>
      </c>
      <c r="S435">
        <v>2</v>
      </c>
      <c r="T435" s="2">
        <f t="shared" si="66"/>
        <v>7.2963113092825299E-2</v>
      </c>
      <c r="U435" s="2">
        <v>1.5308636222034691</v>
      </c>
      <c r="V435" s="2">
        <f t="shared" si="67"/>
        <v>5.5848287798261946E-2</v>
      </c>
      <c r="W435" s="2">
        <v>12.13946529570967</v>
      </c>
      <c r="X435" s="2">
        <f t="shared" si="68"/>
        <v>0.44286658962864622</v>
      </c>
      <c r="Y435" s="2">
        <v>11.88430248294026</v>
      </c>
      <c r="Z435" s="2">
        <f t="shared" si="69"/>
        <v>0.43355785304605732</v>
      </c>
      <c r="AA435">
        <v>2023</v>
      </c>
      <c r="AB435">
        <v>1</v>
      </c>
      <c r="AC435">
        <v>45000000</v>
      </c>
    </row>
    <row r="436" spans="1:29" x14ac:dyDescent="0.2">
      <c r="A436">
        <v>6221</v>
      </c>
      <c r="B436" t="s">
        <v>178</v>
      </c>
      <c r="C436">
        <v>24</v>
      </c>
      <c r="D436">
        <v>2011</v>
      </c>
      <c r="E436">
        <v>0</v>
      </c>
      <c r="F436" s="2">
        <f t="shared" si="60"/>
        <v>0</v>
      </c>
      <c r="G436" s="2">
        <v>0.38712109066545958</v>
      </c>
      <c r="H436" s="2">
        <f t="shared" si="61"/>
        <v>1.7325160696117038E-2</v>
      </c>
      <c r="I436">
        <v>0</v>
      </c>
      <c r="J436" s="2">
        <f t="shared" si="62"/>
        <v>0</v>
      </c>
      <c r="K436" s="2">
        <v>0.1446397490799427</v>
      </c>
      <c r="L436" s="2">
        <f t="shared" si="63"/>
        <v>6.4731861845822199E-3</v>
      </c>
      <c r="M436">
        <v>8</v>
      </c>
      <c r="N436" s="2">
        <f t="shared" si="64"/>
        <v>0.35803083043262057</v>
      </c>
      <c r="O436">
        <v>3</v>
      </c>
      <c r="P436" s="2">
        <f t="shared" si="65"/>
        <v>0.13426156141223272</v>
      </c>
      <c r="Q436" t="s">
        <v>224</v>
      </c>
      <c r="R436" t="s">
        <v>126</v>
      </c>
      <c r="S436">
        <v>0</v>
      </c>
      <c r="T436" s="2">
        <f t="shared" si="66"/>
        <v>0</v>
      </c>
      <c r="U436" s="2">
        <v>0.38712109066545958</v>
      </c>
      <c r="V436" s="2">
        <f t="shared" si="67"/>
        <v>1.7325160696117038E-2</v>
      </c>
      <c r="W436" s="2">
        <v>7.1924304384738207</v>
      </c>
      <c r="X436" s="2">
        <f t="shared" si="68"/>
        <v>0.32188898033945496</v>
      </c>
      <c r="Y436" s="2">
        <v>7.0646398775279522</v>
      </c>
      <c r="Z436" s="2">
        <f t="shared" si="69"/>
        <v>0.31616986025734251</v>
      </c>
      <c r="AA436">
        <v>2024</v>
      </c>
      <c r="AB436">
        <v>1</v>
      </c>
      <c r="AC436">
        <v>32000000</v>
      </c>
    </row>
    <row r="437" spans="1:29" x14ac:dyDescent="0.2">
      <c r="A437">
        <v>6615</v>
      </c>
      <c r="B437" t="s">
        <v>179</v>
      </c>
      <c r="C437">
        <v>20</v>
      </c>
      <c r="D437">
        <v>1459</v>
      </c>
      <c r="E437">
        <v>3</v>
      </c>
      <c r="F437" s="2">
        <f t="shared" si="60"/>
        <v>0.1850582590815627</v>
      </c>
      <c r="G437" s="2">
        <v>1.1775850867852571</v>
      </c>
      <c r="H437" s="2">
        <f t="shared" si="61"/>
        <v>7.2640615360296881E-2</v>
      </c>
      <c r="I437">
        <v>1</v>
      </c>
      <c r="J437" s="2">
        <f t="shared" si="62"/>
        <v>6.1686086360520906E-2</v>
      </c>
      <c r="K437" s="2">
        <v>0.26596400141715998</v>
      </c>
      <c r="L437" s="2">
        <f t="shared" si="63"/>
        <v>1.6406278360208637E-2</v>
      </c>
      <c r="M437">
        <v>9</v>
      </c>
      <c r="N437" s="2">
        <f t="shared" si="64"/>
        <v>0.55517477724468811</v>
      </c>
      <c r="O437">
        <v>4</v>
      </c>
      <c r="P437" s="2">
        <f t="shared" si="65"/>
        <v>0.24674434544208362</v>
      </c>
      <c r="Q437" t="s">
        <v>224</v>
      </c>
      <c r="R437" t="s">
        <v>56</v>
      </c>
      <c r="S437">
        <v>3</v>
      </c>
      <c r="T437" s="2">
        <f t="shared" si="66"/>
        <v>0.1850582590815627</v>
      </c>
      <c r="U437" s="2">
        <v>1.1775850867852571</v>
      </c>
      <c r="V437" s="2">
        <f t="shared" si="67"/>
        <v>7.2640615360296881E-2</v>
      </c>
      <c r="W437" s="2">
        <v>7.682923499494791</v>
      </c>
      <c r="X437" s="2">
        <f t="shared" si="68"/>
        <v>0.47392948249111116</v>
      </c>
      <c r="Y437" s="2">
        <v>7.4314879067242154</v>
      </c>
      <c r="Z437" s="2">
        <f t="shared" si="69"/>
        <v>0.45841940480135668</v>
      </c>
      <c r="AA437">
        <v>2021</v>
      </c>
      <c r="AB437">
        <v>0</v>
      </c>
      <c r="AC437">
        <v>20000000</v>
      </c>
    </row>
    <row r="438" spans="1:29" x14ac:dyDescent="0.2">
      <c r="A438">
        <v>6615</v>
      </c>
      <c r="B438" t="s">
        <v>179</v>
      </c>
      <c r="C438">
        <v>25</v>
      </c>
      <c r="D438">
        <v>1598</v>
      </c>
      <c r="E438">
        <v>0</v>
      </c>
      <c r="F438" s="2">
        <f t="shared" si="60"/>
        <v>0</v>
      </c>
      <c r="G438" s="2">
        <v>0.7949223592877388</v>
      </c>
      <c r="H438" s="2">
        <f t="shared" si="61"/>
        <v>4.4770345641987792E-2</v>
      </c>
      <c r="I438">
        <v>0</v>
      </c>
      <c r="J438" s="2">
        <f t="shared" si="62"/>
        <v>0</v>
      </c>
      <c r="K438" s="2">
        <v>0.19977147504687309</v>
      </c>
      <c r="L438" s="2">
        <f t="shared" si="63"/>
        <v>1.1251209483240663E-2</v>
      </c>
      <c r="M438">
        <v>9</v>
      </c>
      <c r="N438" s="2">
        <f t="shared" si="64"/>
        <v>0.50688360450563197</v>
      </c>
      <c r="O438">
        <v>4</v>
      </c>
      <c r="P438" s="2">
        <f t="shared" si="65"/>
        <v>0.22528160200250313</v>
      </c>
      <c r="Q438" t="s">
        <v>224</v>
      </c>
      <c r="R438" t="s">
        <v>56</v>
      </c>
      <c r="S438">
        <v>0</v>
      </c>
      <c r="T438" s="2">
        <f t="shared" si="66"/>
        <v>0</v>
      </c>
      <c r="U438" s="2">
        <v>0.7949223592877388</v>
      </c>
      <c r="V438" s="2">
        <f t="shared" si="67"/>
        <v>4.4770345641987792E-2</v>
      </c>
      <c r="W438" s="2">
        <v>7.1020578518509856</v>
      </c>
      <c r="X438" s="2">
        <f t="shared" si="68"/>
        <v>0.3999907425948615</v>
      </c>
      <c r="Y438" s="2">
        <v>7.0187290087342262</v>
      </c>
      <c r="Z438" s="2">
        <f t="shared" si="69"/>
        <v>0.39529762877727181</v>
      </c>
      <c r="AA438">
        <v>2022</v>
      </c>
      <c r="AB438">
        <v>0</v>
      </c>
      <c r="AC438">
        <v>18000000</v>
      </c>
    </row>
    <row r="439" spans="1:29" x14ac:dyDescent="0.2">
      <c r="A439">
        <v>6615</v>
      </c>
      <c r="B439" t="s">
        <v>179</v>
      </c>
      <c r="C439">
        <v>13</v>
      </c>
      <c r="D439">
        <v>944</v>
      </c>
      <c r="E439">
        <v>1</v>
      </c>
      <c r="F439" s="2">
        <f t="shared" si="60"/>
        <v>9.5338983050847453E-2</v>
      </c>
      <c r="G439" s="2">
        <v>0.35911528021097178</v>
      </c>
      <c r="H439" s="2">
        <f t="shared" si="61"/>
        <v>3.4237685613334172E-2</v>
      </c>
      <c r="I439">
        <v>0</v>
      </c>
      <c r="J439" s="2">
        <f t="shared" si="62"/>
        <v>0</v>
      </c>
      <c r="K439" s="2">
        <v>7.4940968304872513E-2</v>
      </c>
      <c r="L439" s="2">
        <f t="shared" si="63"/>
        <v>7.144795707032337E-3</v>
      </c>
      <c r="M439">
        <v>2</v>
      </c>
      <c r="N439" s="2">
        <f t="shared" si="64"/>
        <v>0.19067796610169491</v>
      </c>
      <c r="O439">
        <v>2</v>
      </c>
      <c r="P439" s="2">
        <f t="shared" si="65"/>
        <v>0.19067796610169491</v>
      </c>
      <c r="Q439" t="s">
        <v>224</v>
      </c>
      <c r="R439" t="s">
        <v>56</v>
      </c>
      <c r="S439">
        <v>1</v>
      </c>
      <c r="T439" s="2">
        <f t="shared" si="66"/>
        <v>9.5338983050847453E-2</v>
      </c>
      <c r="U439" s="2">
        <v>0.35911528021097178</v>
      </c>
      <c r="V439" s="2">
        <f t="shared" si="67"/>
        <v>3.4237685613334172E-2</v>
      </c>
      <c r="W439" s="2">
        <v>4.4172370824962854</v>
      </c>
      <c r="X439" s="2">
        <f t="shared" si="68"/>
        <v>0.42113489133968823</v>
      </c>
      <c r="Y439" s="2">
        <v>4.4172370824962854</v>
      </c>
      <c r="Z439" s="2">
        <f t="shared" si="69"/>
        <v>0.42113489133968823</v>
      </c>
      <c r="AA439">
        <v>2023</v>
      </c>
      <c r="AB439">
        <v>1</v>
      </c>
      <c r="AC439">
        <v>13000000</v>
      </c>
    </row>
    <row r="440" spans="1:29" x14ac:dyDescent="0.2">
      <c r="A440">
        <v>6615</v>
      </c>
      <c r="B440" t="s">
        <v>179</v>
      </c>
      <c r="C440">
        <v>13</v>
      </c>
      <c r="D440">
        <v>910</v>
      </c>
      <c r="E440">
        <v>0</v>
      </c>
      <c r="F440" s="2">
        <f t="shared" si="60"/>
        <v>0</v>
      </c>
      <c r="G440" s="2">
        <v>0.77983743883669376</v>
      </c>
      <c r="H440" s="2">
        <f t="shared" si="61"/>
        <v>7.7126779665167511E-2</v>
      </c>
      <c r="I440">
        <v>1</v>
      </c>
      <c r="J440" s="2">
        <f t="shared" si="62"/>
        <v>9.8901098901098897E-2</v>
      </c>
      <c r="K440" s="2">
        <v>1.3063816148787739</v>
      </c>
      <c r="L440" s="2">
        <f t="shared" si="63"/>
        <v>0.12920257729570292</v>
      </c>
      <c r="M440">
        <v>7</v>
      </c>
      <c r="N440" s="2">
        <f t="shared" si="64"/>
        <v>0.69230769230769229</v>
      </c>
      <c r="O440">
        <v>4</v>
      </c>
      <c r="P440" s="2">
        <f t="shared" si="65"/>
        <v>0.39560439560439559</v>
      </c>
      <c r="Q440" t="s">
        <v>224</v>
      </c>
      <c r="R440" t="s">
        <v>56</v>
      </c>
      <c r="S440">
        <v>0</v>
      </c>
      <c r="T440" s="2">
        <f t="shared" si="66"/>
        <v>0</v>
      </c>
      <c r="U440" s="2">
        <v>0.77983743883669376</v>
      </c>
      <c r="V440" s="2">
        <f t="shared" si="67"/>
        <v>7.7126779665167511E-2</v>
      </c>
      <c r="W440" s="2">
        <v>3.1110368296504021</v>
      </c>
      <c r="X440" s="2">
        <f t="shared" si="68"/>
        <v>0.30768496117421557</v>
      </c>
      <c r="Y440" s="2">
        <v>3.0528219565749168</v>
      </c>
      <c r="Z440" s="2">
        <f t="shared" si="69"/>
        <v>0.30192744625466211</v>
      </c>
      <c r="AA440">
        <v>2024</v>
      </c>
      <c r="AB440">
        <v>1</v>
      </c>
      <c r="AC440">
        <v>25000000</v>
      </c>
    </row>
    <row r="441" spans="1:29" x14ac:dyDescent="0.2">
      <c r="A441">
        <v>6850</v>
      </c>
      <c r="B441" t="s">
        <v>180</v>
      </c>
      <c r="C441">
        <v>36</v>
      </c>
      <c r="D441">
        <v>3168</v>
      </c>
      <c r="E441">
        <v>4</v>
      </c>
      <c r="F441" s="2">
        <f t="shared" si="60"/>
        <v>0.11363636363636365</v>
      </c>
      <c r="G441" s="2">
        <v>3.6348888538777828</v>
      </c>
      <c r="H441" s="2">
        <f t="shared" si="61"/>
        <v>0.1032638878942552</v>
      </c>
      <c r="I441">
        <v>0</v>
      </c>
      <c r="J441" s="2">
        <f t="shared" si="62"/>
        <v>0</v>
      </c>
      <c r="K441" s="2">
        <v>1.56681349966675</v>
      </c>
      <c r="L441" s="2">
        <f t="shared" si="63"/>
        <v>4.4511747149623582E-2</v>
      </c>
      <c r="M441">
        <v>23</v>
      </c>
      <c r="N441" s="2">
        <f t="shared" si="64"/>
        <v>0.65340909090909094</v>
      </c>
      <c r="O441">
        <v>11</v>
      </c>
      <c r="P441" s="2">
        <f t="shared" si="65"/>
        <v>0.3125</v>
      </c>
      <c r="Q441" t="s">
        <v>224</v>
      </c>
      <c r="R441" t="s">
        <v>85</v>
      </c>
      <c r="S441">
        <v>4</v>
      </c>
      <c r="T441" s="2">
        <f t="shared" si="66"/>
        <v>0.11363636363636365</v>
      </c>
      <c r="U441" s="2">
        <v>3.6348888538777828</v>
      </c>
      <c r="V441" s="2">
        <f t="shared" si="67"/>
        <v>0.1032638878942552</v>
      </c>
      <c r="W441" s="2">
        <v>7.4878834113478661</v>
      </c>
      <c r="X441" s="2">
        <f t="shared" si="68"/>
        <v>0.21272396054965528</v>
      </c>
      <c r="Y441" s="2">
        <v>5.9656679891049862</v>
      </c>
      <c r="Z441" s="2">
        <f t="shared" si="69"/>
        <v>0.1694792042359371</v>
      </c>
      <c r="AA441">
        <v>2018</v>
      </c>
      <c r="AB441">
        <v>0</v>
      </c>
      <c r="AC441">
        <v>12000000</v>
      </c>
    </row>
    <row r="442" spans="1:29" x14ac:dyDescent="0.2">
      <c r="A442">
        <v>6850</v>
      </c>
      <c r="B442" t="s">
        <v>180</v>
      </c>
      <c r="C442">
        <v>22</v>
      </c>
      <c r="D442">
        <v>1980</v>
      </c>
      <c r="E442">
        <v>0</v>
      </c>
      <c r="F442" s="2">
        <f t="shared" si="60"/>
        <v>0</v>
      </c>
      <c r="G442" s="2">
        <v>0.2332085985690355</v>
      </c>
      <c r="H442" s="2">
        <f t="shared" si="61"/>
        <v>1.0600390844047068E-2</v>
      </c>
      <c r="I442">
        <v>1</v>
      </c>
      <c r="J442" s="2">
        <f t="shared" si="62"/>
        <v>4.5454545454545456E-2</v>
      </c>
      <c r="K442" s="2">
        <v>1.0245932824909689</v>
      </c>
      <c r="L442" s="2">
        <f t="shared" si="63"/>
        <v>4.6572421931407676E-2</v>
      </c>
      <c r="M442">
        <v>5</v>
      </c>
      <c r="N442" s="2">
        <f t="shared" si="64"/>
        <v>0.22727272727272729</v>
      </c>
      <c r="O442">
        <v>7</v>
      </c>
      <c r="P442" s="2">
        <f t="shared" si="65"/>
        <v>0.31818181818181818</v>
      </c>
      <c r="Q442" t="s">
        <v>224</v>
      </c>
      <c r="R442" t="s">
        <v>85</v>
      </c>
      <c r="S442">
        <v>0</v>
      </c>
      <c r="T442" s="2">
        <f t="shared" si="66"/>
        <v>0</v>
      </c>
      <c r="U442" s="2">
        <v>0.2332085985690355</v>
      </c>
      <c r="V442" s="2">
        <f t="shared" si="67"/>
        <v>1.0600390844047068E-2</v>
      </c>
      <c r="W442" s="2">
        <v>4.8207696545869112</v>
      </c>
      <c r="X442" s="2">
        <f t="shared" si="68"/>
        <v>0.21912589339031416</v>
      </c>
      <c r="Y442" s="2">
        <v>3.9249173570424318</v>
      </c>
      <c r="Z442" s="2">
        <f t="shared" si="69"/>
        <v>0.17840533441101961</v>
      </c>
      <c r="AA442">
        <v>2019</v>
      </c>
      <c r="AB442">
        <v>0</v>
      </c>
      <c r="AC442">
        <v>14500000</v>
      </c>
    </row>
    <row r="443" spans="1:29" x14ac:dyDescent="0.2">
      <c r="A443">
        <v>6850</v>
      </c>
      <c r="B443" t="s">
        <v>180</v>
      </c>
      <c r="C443">
        <v>21</v>
      </c>
      <c r="D443">
        <v>1880</v>
      </c>
      <c r="E443">
        <v>1</v>
      </c>
      <c r="F443" s="2">
        <f t="shared" si="60"/>
        <v>4.7872340425531915E-2</v>
      </c>
      <c r="G443" s="2">
        <v>1.130185901187361</v>
      </c>
      <c r="H443" s="2">
        <f t="shared" si="61"/>
        <v>5.4104644205777916E-2</v>
      </c>
      <c r="I443">
        <v>1</v>
      </c>
      <c r="J443" s="2">
        <f t="shared" si="62"/>
        <v>4.7872340425531915E-2</v>
      </c>
      <c r="K443" s="2">
        <v>0.55129529535770416</v>
      </c>
      <c r="L443" s="2">
        <f t="shared" si="63"/>
        <v>2.639179605435818E-2</v>
      </c>
      <c r="M443">
        <v>15</v>
      </c>
      <c r="N443" s="2">
        <f t="shared" si="64"/>
        <v>0.71808510638297862</v>
      </c>
      <c r="O443">
        <v>3</v>
      </c>
      <c r="P443" s="2">
        <f t="shared" si="65"/>
        <v>0.14361702127659573</v>
      </c>
      <c r="Q443" t="s">
        <v>224</v>
      </c>
      <c r="R443" t="s">
        <v>85</v>
      </c>
      <c r="S443">
        <v>1</v>
      </c>
      <c r="T443" s="2">
        <f t="shared" si="66"/>
        <v>4.7872340425531915E-2</v>
      </c>
      <c r="U443" s="2">
        <v>1.130185901187361</v>
      </c>
      <c r="V443" s="2">
        <f t="shared" si="67"/>
        <v>5.4104644205777916E-2</v>
      </c>
      <c r="W443" s="2">
        <v>2.838236978277564</v>
      </c>
      <c r="X443" s="2">
        <f t="shared" si="68"/>
        <v>0.13587304683243656</v>
      </c>
      <c r="Y443" s="2">
        <v>2.6631664801388979</v>
      </c>
      <c r="Z443" s="2">
        <f t="shared" si="69"/>
        <v>0.12749201234707491</v>
      </c>
      <c r="AA443">
        <v>2020</v>
      </c>
      <c r="AB443">
        <v>1</v>
      </c>
      <c r="AC443">
        <v>14000000</v>
      </c>
    </row>
    <row r="444" spans="1:29" x14ac:dyDescent="0.2">
      <c r="A444">
        <v>6850</v>
      </c>
      <c r="B444" t="s">
        <v>180</v>
      </c>
      <c r="C444">
        <v>10</v>
      </c>
      <c r="D444">
        <v>900</v>
      </c>
      <c r="E444">
        <v>0</v>
      </c>
      <c r="F444" s="2">
        <f t="shared" si="60"/>
        <v>0</v>
      </c>
      <c r="G444" s="2">
        <v>8.8927999138832092E-2</v>
      </c>
      <c r="H444" s="2">
        <f t="shared" si="61"/>
        <v>8.8927999138832085E-3</v>
      </c>
      <c r="I444">
        <v>0</v>
      </c>
      <c r="J444" s="2">
        <f t="shared" si="62"/>
        <v>0</v>
      </c>
      <c r="K444" s="2">
        <v>6.2957301735877991E-2</v>
      </c>
      <c r="L444" s="2">
        <f t="shared" si="63"/>
        <v>6.2957301735877989E-3</v>
      </c>
      <c r="M444">
        <v>2</v>
      </c>
      <c r="N444" s="2">
        <f t="shared" si="64"/>
        <v>0.2</v>
      </c>
      <c r="O444">
        <v>1</v>
      </c>
      <c r="P444" s="2">
        <f t="shared" si="65"/>
        <v>0.1</v>
      </c>
      <c r="Q444" t="s">
        <v>224</v>
      </c>
      <c r="R444" t="s">
        <v>85</v>
      </c>
      <c r="S444">
        <v>0</v>
      </c>
      <c r="T444" s="2">
        <f t="shared" si="66"/>
        <v>0</v>
      </c>
      <c r="U444" s="2">
        <v>8.8927999138832092E-2</v>
      </c>
      <c r="V444" s="2">
        <f t="shared" si="67"/>
        <v>8.8927999138832085E-3</v>
      </c>
      <c r="W444" s="2">
        <v>2.5500261951237921</v>
      </c>
      <c r="X444" s="2">
        <f t="shared" si="68"/>
        <v>0.25500261951237924</v>
      </c>
      <c r="Y444" s="2">
        <v>2.5500261951237921</v>
      </c>
      <c r="Z444" s="2">
        <f t="shared" si="69"/>
        <v>0.25500261951237924</v>
      </c>
      <c r="AA444">
        <v>2021</v>
      </c>
      <c r="AB444">
        <v>1</v>
      </c>
      <c r="AC444">
        <v>6000000</v>
      </c>
    </row>
    <row r="445" spans="1:29" x14ac:dyDescent="0.2">
      <c r="A445">
        <v>6851</v>
      </c>
      <c r="B445" t="s">
        <v>181</v>
      </c>
      <c r="C445">
        <v>38</v>
      </c>
      <c r="D445">
        <v>3420</v>
      </c>
      <c r="E445">
        <v>0</v>
      </c>
      <c r="F445" s="2">
        <f t="shared" si="60"/>
        <v>0</v>
      </c>
      <c r="G445" s="2">
        <v>0</v>
      </c>
      <c r="H445" s="2">
        <f t="shared" si="61"/>
        <v>0</v>
      </c>
      <c r="I445">
        <v>0</v>
      </c>
      <c r="J445" s="2">
        <f t="shared" si="62"/>
        <v>0</v>
      </c>
      <c r="K445" s="2">
        <v>1.348649989813566E-2</v>
      </c>
      <c r="L445" s="2">
        <f t="shared" si="63"/>
        <v>3.5490789205620159E-4</v>
      </c>
      <c r="M445">
        <v>0</v>
      </c>
      <c r="N445" s="2">
        <f t="shared" si="64"/>
        <v>0</v>
      </c>
      <c r="O445">
        <v>2</v>
      </c>
      <c r="P445" s="2">
        <f t="shared" si="65"/>
        <v>5.2631578947368425E-2</v>
      </c>
      <c r="Q445" t="s">
        <v>224</v>
      </c>
      <c r="R445" t="s">
        <v>85</v>
      </c>
      <c r="S445">
        <v>0</v>
      </c>
      <c r="T445" s="2">
        <f t="shared" si="66"/>
        <v>0</v>
      </c>
      <c r="U445" s="2">
        <v>0</v>
      </c>
      <c r="V445" s="2">
        <f t="shared" si="67"/>
        <v>0</v>
      </c>
      <c r="W445" s="2">
        <v>6.7925358442589641</v>
      </c>
      <c r="X445" s="2">
        <f t="shared" si="68"/>
        <v>0.17875094326997273</v>
      </c>
      <c r="Y445" s="2">
        <v>6.7790488628670573</v>
      </c>
      <c r="Z445" s="2">
        <f t="shared" si="69"/>
        <v>0.17839602270702781</v>
      </c>
      <c r="AA445">
        <v>2018</v>
      </c>
      <c r="AB445">
        <v>0</v>
      </c>
      <c r="AC445">
        <v>10000000</v>
      </c>
    </row>
    <row r="446" spans="1:29" x14ac:dyDescent="0.2">
      <c r="A446">
        <v>6851</v>
      </c>
      <c r="B446" t="s">
        <v>181</v>
      </c>
      <c r="C446">
        <v>38</v>
      </c>
      <c r="D446">
        <v>3420</v>
      </c>
      <c r="E446">
        <v>0</v>
      </c>
      <c r="F446" s="2">
        <f t="shared" si="60"/>
        <v>0</v>
      </c>
      <c r="G446" s="2">
        <v>0</v>
      </c>
      <c r="H446" s="2">
        <f t="shared" si="61"/>
        <v>0</v>
      </c>
      <c r="I446">
        <v>0</v>
      </c>
      <c r="J446" s="2">
        <f t="shared" si="62"/>
        <v>0</v>
      </c>
      <c r="K446" s="2">
        <v>0.53212391026318073</v>
      </c>
      <c r="L446" s="2">
        <f t="shared" si="63"/>
        <v>1.4003260796399493E-2</v>
      </c>
      <c r="M446">
        <v>0</v>
      </c>
      <c r="N446" s="2">
        <f t="shared" si="64"/>
        <v>0</v>
      </c>
      <c r="O446">
        <v>5</v>
      </c>
      <c r="P446" s="2">
        <f t="shared" si="65"/>
        <v>0.13157894736842105</v>
      </c>
      <c r="Q446" t="s">
        <v>224</v>
      </c>
      <c r="R446" t="s">
        <v>85</v>
      </c>
      <c r="S446">
        <v>0</v>
      </c>
      <c r="T446" s="2">
        <f t="shared" si="66"/>
        <v>0</v>
      </c>
      <c r="U446" s="2">
        <v>0</v>
      </c>
      <c r="V446" s="2">
        <f t="shared" si="67"/>
        <v>0</v>
      </c>
      <c r="W446" s="2">
        <v>9.5337454704567808</v>
      </c>
      <c r="X446" s="2">
        <f t="shared" si="68"/>
        <v>0.25088803869623105</v>
      </c>
      <c r="Y446" s="2">
        <v>9.087925267405808</v>
      </c>
      <c r="Z446" s="2">
        <f t="shared" si="69"/>
        <v>0.23915592808962655</v>
      </c>
      <c r="AA446">
        <v>2019</v>
      </c>
      <c r="AB446">
        <v>0</v>
      </c>
      <c r="AC446">
        <v>18000000</v>
      </c>
    </row>
    <row r="447" spans="1:29" x14ac:dyDescent="0.2">
      <c r="A447">
        <v>6851</v>
      </c>
      <c r="B447" t="s">
        <v>181</v>
      </c>
      <c r="C447">
        <v>37</v>
      </c>
      <c r="D447">
        <v>3305</v>
      </c>
      <c r="E447">
        <v>1</v>
      </c>
      <c r="F447" s="2">
        <f t="shared" si="60"/>
        <v>2.7231467473524961E-2</v>
      </c>
      <c r="G447" s="2">
        <v>1.4450342124328019</v>
      </c>
      <c r="H447" s="2">
        <f t="shared" si="61"/>
        <v>3.9350402153994608E-2</v>
      </c>
      <c r="I447">
        <v>0</v>
      </c>
      <c r="J447" s="2">
        <f t="shared" si="62"/>
        <v>0</v>
      </c>
      <c r="K447" s="2">
        <v>0.19623779505491259</v>
      </c>
      <c r="L447" s="2">
        <f t="shared" si="63"/>
        <v>5.34384313311411E-3</v>
      </c>
      <c r="M447">
        <v>7</v>
      </c>
      <c r="N447" s="2">
        <f t="shared" si="64"/>
        <v>0.19062027231467471</v>
      </c>
      <c r="O447">
        <v>3</v>
      </c>
      <c r="P447" s="2">
        <f t="shared" si="65"/>
        <v>8.169440242057488E-2</v>
      </c>
      <c r="Q447" t="s">
        <v>224</v>
      </c>
      <c r="R447" t="s">
        <v>85</v>
      </c>
      <c r="S447">
        <v>1</v>
      </c>
      <c r="T447" s="2">
        <f t="shared" si="66"/>
        <v>2.7231467473524961E-2</v>
      </c>
      <c r="U447" s="2">
        <v>1.4450342124328019</v>
      </c>
      <c r="V447" s="2">
        <f t="shared" si="67"/>
        <v>3.9350402153994608E-2</v>
      </c>
      <c r="W447" s="2">
        <v>5.043202399276197</v>
      </c>
      <c r="X447" s="2">
        <f t="shared" si="68"/>
        <v>0.1373338020982928</v>
      </c>
      <c r="Y447" s="2">
        <v>4.8748507974669337</v>
      </c>
      <c r="Z447" s="2">
        <f t="shared" si="69"/>
        <v>0.13274934092950802</v>
      </c>
      <c r="AA447">
        <v>2020</v>
      </c>
      <c r="AB447">
        <v>1</v>
      </c>
      <c r="AC447">
        <v>25000000</v>
      </c>
    </row>
    <row r="448" spans="1:29" x14ac:dyDescent="0.2">
      <c r="A448">
        <v>6851</v>
      </c>
      <c r="B448" t="s">
        <v>181</v>
      </c>
      <c r="C448">
        <v>38</v>
      </c>
      <c r="D448">
        <v>3369</v>
      </c>
      <c r="E448">
        <v>4</v>
      </c>
      <c r="F448" s="2">
        <f t="shared" si="60"/>
        <v>0.1068566340160285</v>
      </c>
      <c r="G448" s="2">
        <v>2.326475059613585</v>
      </c>
      <c r="H448" s="2">
        <f t="shared" si="61"/>
        <v>6.2149823498136733E-2</v>
      </c>
      <c r="I448">
        <v>0</v>
      </c>
      <c r="J448" s="2">
        <f t="shared" si="62"/>
        <v>0</v>
      </c>
      <c r="K448" s="2">
        <v>7.8321900218725204E-2</v>
      </c>
      <c r="L448" s="2">
        <f t="shared" si="63"/>
        <v>2.0923036567780553E-3</v>
      </c>
      <c r="M448">
        <v>12</v>
      </c>
      <c r="N448" s="2">
        <f t="shared" si="64"/>
        <v>0.3205699020480855</v>
      </c>
      <c r="O448">
        <v>3</v>
      </c>
      <c r="P448" s="2">
        <f t="shared" si="65"/>
        <v>8.0142475512021374E-2</v>
      </c>
      <c r="Q448" t="s">
        <v>224</v>
      </c>
      <c r="R448" t="s">
        <v>85</v>
      </c>
      <c r="S448">
        <v>4</v>
      </c>
      <c r="T448" s="2">
        <f t="shared" si="66"/>
        <v>0.1068566340160285</v>
      </c>
      <c r="U448" s="2">
        <v>2.326475059613585</v>
      </c>
      <c r="V448" s="2">
        <f t="shared" si="67"/>
        <v>6.2149823498136733E-2</v>
      </c>
      <c r="W448" s="2">
        <v>5.3487496869638562</v>
      </c>
      <c r="X448" s="2">
        <f t="shared" si="68"/>
        <v>0.14288734693581093</v>
      </c>
      <c r="Y448" s="2">
        <v>5.3224009992554784</v>
      </c>
      <c r="Z448" s="2">
        <f t="shared" si="69"/>
        <v>0.14218346391599676</v>
      </c>
      <c r="AA448">
        <v>2021</v>
      </c>
      <c r="AB448">
        <v>1</v>
      </c>
      <c r="AC448">
        <v>25000000</v>
      </c>
    </row>
    <row r="449" spans="1:29" x14ac:dyDescent="0.2">
      <c r="A449">
        <v>6853</v>
      </c>
      <c r="B449" t="s">
        <v>182</v>
      </c>
      <c r="C449">
        <v>35</v>
      </c>
      <c r="D449">
        <v>3014</v>
      </c>
      <c r="E449">
        <v>4</v>
      </c>
      <c r="F449" s="2">
        <f t="shared" si="60"/>
        <v>0.11944260119442601</v>
      </c>
      <c r="G449" s="2">
        <v>3.39373844768852</v>
      </c>
      <c r="H449" s="2">
        <f t="shared" si="61"/>
        <v>0.10133923699136257</v>
      </c>
      <c r="I449">
        <v>3</v>
      </c>
      <c r="J449" s="2">
        <f t="shared" si="62"/>
        <v>8.9581950895819523E-2</v>
      </c>
      <c r="K449" s="2">
        <v>1.8831316716969011</v>
      </c>
      <c r="L449" s="2">
        <f t="shared" si="63"/>
        <v>5.6231536314771437E-2</v>
      </c>
      <c r="M449">
        <v>74</v>
      </c>
      <c r="N449" s="2">
        <f t="shared" si="64"/>
        <v>2.2096881220968809</v>
      </c>
      <c r="O449">
        <v>24</v>
      </c>
      <c r="P449" s="2">
        <f t="shared" si="65"/>
        <v>0.71665560716655619</v>
      </c>
      <c r="Q449" t="s">
        <v>223</v>
      </c>
      <c r="R449" t="s">
        <v>85</v>
      </c>
      <c r="S449">
        <v>2</v>
      </c>
      <c r="T449" s="2">
        <f t="shared" si="66"/>
        <v>5.9721300597213006E-2</v>
      </c>
      <c r="U449" s="2">
        <v>1.871401048265398</v>
      </c>
      <c r="V449" s="2">
        <f t="shared" si="67"/>
        <v>5.5881252270698685E-2</v>
      </c>
      <c r="W449" s="2">
        <v>10.348723506554959</v>
      </c>
      <c r="X449" s="2">
        <f t="shared" si="68"/>
        <v>0.30901961366620651</v>
      </c>
      <c r="Y449" s="2">
        <v>8.1765349972993135</v>
      </c>
      <c r="Z449" s="2">
        <f t="shared" si="69"/>
        <v>0.24415665220867228</v>
      </c>
      <c r="AA449">
        <v>2018</v>
      </c>
      <c r="AB449">
        <v>0</v>
      </c>
      <c r="AC449">
        <v>45000000</v>
      </c>
    </row>
    <row r="450" spans="1:29" x14ac:dyDescent="0.2">
      <c r="A450">
        <v>6853</v>
      </c>
      <c r="B450" t="s">
        <v>182</v>
      </c>
      <c r="C450">
        <v>38</v>
      </c>
      <c r="D450">
        <v>3081</v>
      </c>
      <c r="E450">
        <v>2</v>
      </c>
      <c r="F450" s="2">
        <f t="shared" si="60"/>
        <v>5.842259006815969E-2</v>
      </c>
      <c r="G450" s="2">
        <v>1.638084217905998</v>
      </c>
      <c r="H450" s="2">
        <f t="shared" si="61"/>
        <v>4.7850561379922045E-2</v>
      </c>
      <c r="I450">
        <v>2</v>
      </c>
      <c r="J450" s="2">
        <f t="shared" si="62"/>
        <v>5.842259006815969E-2</v>
      </c>
      <c r="K450" s="2">
        <v>2.6060934849083419</v>
      </c>
      <c r="L450" s="2">
        <f t="shared" si="63"/>
        <v>7.6127365674050873E-2</v>
      </c>
      <c r="M450">
        <v>61</v>
      </c>
      <c r="N450" s="2">
        <f t="shared" si="64"/>
        <v>1.7818889970788705</v>
      </c>
      <c r="O450">
        <v>29</v>
      </c>
      <c r="P450" s="2">
        <f t="shared" si="65"/>
        <v>0.84712755598831546</v>
      </c>
      <c r="Q450" t="s">
        <v>223</v>
      </c>
      <c r="R450" t="s">
        <v>85</v>
      </c>
      <c r="S450">
        <v>2</v>
      </c>
      <c r="T450" s="2">
        <f t="shared" si="66"/>
        <v>5.842259006815969E-2</v>
      </c>
      <c r="U450" s="2">
        <v>1.638084217905998</v>
      </c>
      <c r="V450" s="2">
        <f t="shared" si="67"/>
        <v>4.7850561379922045E-2</v>
      </c>
      <c r="W450" s="2">
        <v>13.925793657079341</v>
      </c>
      <c r="X450" s="2">
        <f t="shared" si="68"/>
        <v>0.4067904671006623</v>
      </c>
      <c r="Y450" s="2">
        <v>11.20146442018449</v>
      </c>
      <c r="Z450" s="2">
        <f t="shared" si="69"/>
        <v>0.32720928199175725</v>
      </c>
      <c r="AA450">
        <v>2019</v>
      </c>
      <c r="AB450">
        <v>0</v>
      </c>
      <c r="AC450">
        <v>50000000</v>
      </c>
    </row>
    <row r="451" spans="1:29" x14ac:dyDescent="0.2">
      <c r="A451">
        <v>6853</v>
      </c>
      <c r="B451" t="s">
        <v>182</v>
      </c>
      <c r="C451">
        <v>36</v>
      </c>
      <c r="D451">
        <v>2681</v>
      </c>
      <c r="E451">
        <v>5</v>
      </c>
      <c r="F451" s="2">
        <f t="shared" ref="F451:F514" si="70">E451/D451*90</f>
        <v>0.16784781797836629</v>
      </c>
      <c r="G451" s="2">
        <v>4.7440827656537294</v>
      </c>
      <c r="H451" s="2">
        <f t="shared" ref="H451:H514" si="71">G451/D451*90</f>
        <v>0.15925678810475033</v>
      </c>
      <c r="I451">
        <v>1</v>
      </c>
      <c r="J451" s="2">
        <f t="shared" ref="J451:J514" si="72">I451/D451*90</f>
        <v>3.3569563595673257E-2</v>
      </c>
      <c r="K451" s="2">
        <v>2.0611722785979509</v>
      </c>
      <c r="L451" s="2">
        <f t="shared" ref="L451:L514" si="73">K451/D451*90</f>
        <v>6.9192653888032668E-2</v>
      </c>
      <c r="M451">
        <v>67</v>
      </c>
      <c r="N451" s="2">
        <f t="shared" ref="N451:N514" si="74">M451/D451*90</f>
        <v>2.2491607609101081</v>
      </c>
      <c r="O451">
        <v>33</v>
      </c>
      <c r="P451" s="2">
        <f t="shared" ref="P451:P514" si="75">O451/D451*90</f>
        <v>1.1077955986572174</v>
      </c>
      <c r="Q451" t="s">
        <v>223</v>
      </c>
      <c r="R451" t="s">
        <v>85</v>
      </c>
      <c r="S451">
        <v>2</v>
      </c>
      <c r="T451" s="2">
        <f t="shared" ref="T451:T514" si="76">S451/D451*90</f>
        <v>6.7139127191346515E-2</v>
      </c>
      <c r="U451" s="2">
        <v>2.460575988516212</v>
      </c>
      <c r="V451" s="2">
        <f t="shared" ref="V451:V514" si="77">U451/D451*90</f>
        <v>8.2600462128481572E-2</v>
      </c>
      <c r="W451" s="2">
        <v>6.9958708770573139</v>
      </c>
      <c r="X451" s="2">
        <f t="shared" ref="X451:X514" si="78">W451/D451*90</f>
        <v>0.23484833231449395</v>
      </c>
      <c r="Y451" s="2">
        <v>4.6739716026932001</v>
      </c>
      <c r="Z451" s="2">
        <f t="shared" ref="Z451:Z514" si="79">Y451/D451*90</f>
        <v>0.15690318696098024</v>
      </c>
      <c r="AA451">
        <v>2020</v>
      </c>
      <c r="AB451">
        <v>1</v>
      </c>
      <c r="AC451">
        <v>45000000</v>
      </c>
    </row>
    <row r="452" spans="1:29" x14ac:dyDescent="0.2">
      <c r="A452">
        <v>6853</v>
      </c>
      <c r="B452" t="s">
        <v>182</v>
      </c>
      <c r="C452">
        <v>33</v>
      </c>
      <c r="D452">
        <v>2674</v>
      </c>
      <c r="E452">
        <v>4</v>
      </c>
      <c r="F452" s="2">
        <f t="shared" si="70"/>
        <v>0.13462976813762154</v>
      </c>
      <c r="G452" s="2">
        <v>1.1209032889455559</v>
      </c>
      <c r="H452" s="2">
        <f t="shared" si="71"/>
        <v>3.7726737473859399E-2</v>
      </c>
      <c r="I452">
        <v>2</v>
      </c>
      <c r="J452" s="2">
        <f t="shared" si="72"/>
        <v>6.7314884068810768E-2</v>
      </c>
      <c r="K452" s="2">
        <v>2.2435877406969662</v>
      </c>
      <c r="L452" s="2">
        <f t="shared" si="73"/>
        <v>7.5513424331610679E-2</v>
      </c>
      <c r="M452">
        <v>42</v>
      </c>
      <c r="N452" s="2">
        <f t="shared" si="74"/>
        <v>1.413612565445026</v>
      </c>
      <c r="O452">
        <v>25</v>
      </c>
      <c r="P452" s="2">
        <f t="shared" si="75"/>
        <v>0.84143605086013462</v>
      </c>
      <c r="Q452" t="s">
        <v>223</v>
      </c>
      <c r="R452" t="s">
        <v>85</v>
      </c>
      <c r="S452">
        <v>4</v>
      </c>
      <c r="T452" s="2">
        <f t="shared" si="76"/>
        <v>0.13462976813762154</v>
      </c>
      <c r="U452" s="2">
        <v>1.1209032889455559</v>
      </c>
      <c r="V452" s="2">
        <f t="shared" si="77"/>
        <v>3.7726737473859399E-2</v>
      </c>
      <c r="W452" s="2">
        <v>8.2498365854844451</v>
      </c>
      <c r="X452" s="2">
        <f t="shared" si="78"/>
        <v>0.27766839666925958</v>
      </c>
      <c r="Y452" s="2">
        <v>6.5162611249834299</v>
      </c>
      <c r="Z452" s="2">
        <f t="shared" si="79"/>
        <v>0.21932068109517902</v>
      </c>
      <c r="AA452">
        <v>2021</v>
      </c>
      <c r="AB452">
        <v>1</v>
      </c>
      <c r="AC452">
        <v>40000000</v>
      </c>
    </row>
    <row r="453" spans="1:29" x14ac:dyDescent="0.2">
      <c r="A453">
        <v>6854</v>
      </c>
      <c r="B453" t="s">
        <v>183</v>
      </c>
      <c r="C453">
        <v>34</v>
      </c>
      <c r="D453">
        <v>2329</v>
      </c>
      <c r="E453">
        <v>7</v>
      </c>
      <c r="F453" s="2">
        <f t="shared" si="70"/>
        <v>0.270502361528553</v>
      </c>
      <c r="G453" s="2">
        <v>12.017677284777159</v>
      </c>
      <c r="H453" s="2">
        <f t="shared" si="71"/>
        <v>0.4644014408028958</v>
      </c>
      <c r="I453">
        <v>1</v>
      </c>
      <c r="J453" s="2">
        <f t="shared" si="72"/>
        <v>3.8643194504079006E-2</v>
      </c>
      <c r="K453" s="2">
        <v>2.642562847584486</v>
      </c>
      <c r="L453" s="2">
        <f t="shared" si="73"/>
        <v>0.10211707010846016</v>
      </c>
      <c r="M453">
        <v>69</v>
      </c>
      <c r="N453" s="2">
        <f t="shared" si="74"/>
        <v>2.6663804207814512</v>
      </c>
      <c r="O453">
        <v>29</v>
      </c>
      <c r="P453" s="2">
        <f t="shared" si="75"/>
        <v>1.1206526406182911</v>
      </c>
      <c r="Q453" t="s">
        <v>222</v>
      </c>
      <c r="R453" t="s">
        <v>85</v>
      </c>
      <c r="S453">
        <v>7</v>
      </c>
      <c r="T453" s="2">
        <f t="shared" si="76"/>
        <v>0.270502361528553</v>
      </c>
      <c r="U453" s="2">
        <v>12.017677284777159</v>
      </c>
      <c r="V453" s="2">
        <f t="shared" si="77"/>
        <v>0.4644014408028958</v>
      </c>
      <c r="W453" s="2">
        <v>16.14993303455412</v>
      </c>
      <c r="X453" s="2">
        <f t="shared" si="78"/>
        <v>0.6240850034821257</v>
      </c>
      <c r="Y453" s="2">
        <v>4.0980047378689051</v>
      </c>
      <c r="Z453" s="2">
        <f t="shared" si="79"/>
        <v>0.1583599941641054</v>
      </c>
      <c r="AA453">
        <v>2019</v>
      </c>
      <c r="AB453">
        <v>0</v>
      </c>
      <c r="AC453">
        <v>28000000</v>
      </c>
    </row>
    <row r="454" spans="1:29" x14ac:dyDescent="0.2">
      <c r="A454">
        <v>6854</v>
      </c>
      <c r="B454" t="s">
        <v>183</v>
      </c>
      <c r="C454">
        <v>19</v>
      </c>
      <c r="D454">
        <v>1114</v>
      </c>
      <c r="E454">
        <v>9</v>
      </c>
      <c r="F454" s="2">
        <f t="shared" si="70"/>
        <v>0.72710951526032308</v>
      </c>
      <c r="G454" s="2">
        <v>7.0577229782938957</v>
      </c>
      <c r="H454" s="2">
        <f t="shared" si="71"/>
        <v>0.57019305928765762</v>
      </c>
      <c r="I454">
        <v>0</v>
      </c>
      <c r="J454" s="2">
        <f t="shared" si="72"/>
        <v>0</v>
      </c>
      <c r="K454" s="2">
        <v>1.7625195607542989</v>
      </c>
      <c r="L454" s="2">
        <f t="shared" si="73"/>
        <v>0.14239386038409957</v>
      </c>
      <c r="M454">
        <v>46</v>
      </c>
      <c r="N454" s="2">
        <f t="shared" si="74"/>
        <v>3.7163375224416519</v>
      </c>
      <c r="O454">
        <v>12</v>
      </c>
      <c r="P454" s="2">
        <f t="shared" si="75"/>
        <v>0.96947935368043092</v>
      </c>
      <c r="Q454" s="3" t="s">
        <v>222</v>
      </c>
      <c r="R454" t="s">
        <v>31</v>
      </c>
      <c r="S454">
        <v>9</v>
      </c>
      <c r="T454" s="2">
        <f t="shared" si="76"/>
        <v>0.72710951526032308</v>
      </c>
      <c r="U454" s="2">
        <v>7.0577229782938957</v>
      </c>
      <c r="V454" s="2">
        <f t="shared" si="77"/>
        <v>0.57019305928765762</v>
      </c>
      <c r="W454" s="2">
        <v>10.97296620905399</v>
      </c>
      <c r="X454" s="2">
        <f t="shared" si="78"/>
        <v>0.88650534902590572</v>
      </c>
      <c r="Y454" s="2">
        <v>4.0760982949286699</v>
      </c>
      <c r="Z454" s="2">
        <f t="shared" si="79"/>
        <v>0.3293077617087794</v>
      </c>
      <c r="AA454">
        <v>2020</v>
      </c>
      <c r="AB454">
        <v>0</v>
      </c>
      <c r="AC454">
        <v>45000000</v>
      </c>
    </row>
    <row r="455" spans="1:29" x14ac:dyDescent="0.2">
      <c r="A455">
        <v>6854</v>
      </c>
      <c r="B455" t="s">
        <v>183</v>
      </c>
      <c r="C455">
        <v>35</v>
      </c>
      <c r="D455">
        <v>2401</v>
      </c>
      <c r="E455">
        <v>15</v>
      </c>
      <c r="F455" s="2">
        <f t="shared" si="70"/>
        <v>0.56226572261557684</v>
      </c>
      <c r="G455" s="2">
        <v>17.34798476099968</v>
      </c>
      <c r="H455" s="2">
        <f t="shared" si="71"/>
        <v>0.65027847917116666</v>
      </c>
      <c r="I455">
        <v>4</v>
      </c>
      <c r="J455" s="2">
        <f t="shared" si="72"/>
        <v>0.1499375260308205</v>
      </c>
      <c r="K455" s="2">
        <v>5.8745885360985994</v>
      </c>
      <c r="L455" s="2">
        <f t="shared" si="73"/>
        <v>0.22020531788791087</v>
      </c>
      <c r="M455">
        <v>90</v>
      </c>
      <c r="N455" s="2">
        <f t="shared" si="74"/>
        <v>3.3735943356934612</v>
      </c>
      <c r="O455">
        <v>40</v>
      </c>
      <c r="P455" s="2">
        <f t="shared" si="75"/>
        <v>1.4993752603082049</v>
      </c>
      <c r="Q455" s="3" t="s">
        <v>222</v>
      </c>
      <c r="R455" t="s">
        <v>31</v>
      </c>
      <c r="S455">
        <v>15</v>
      </c>
      <c r="T455" s="2">
        <f t="shared" si="76"/>
        <v>0.56226572261557684</v>
      </c>
      <c r="U455" s="2">
        <v>17.34798476099968</v>
      </c>
      <c r="V455" s="2">
        <f t="shared" si="77"/>
        <v>0.65027847917116666</v>
      </c>
      <c r="W455" s="2">
        <v>25.778406299650669</v>
      </c>
      <c r="X455" s="2">
        <f t="shared" si="78"/>
        <v>0.96628761639673488</v>
      </c>
      <c r="Y455" s="2">
        <v>6.9192486386746168</v>
      </c>
      <c r="Z455" s="2">
        <f t="shared" si="79"/>
        <v>0.25936375571874865</v>
      </c>
      <c r="AA455">
        <v>2021</v>
      </c>
      <c r="AB455">
        <v>1</v>
      </c>
      <c r="AC455">
        <v>60000000</v>
      </c>
    </row>
    <row r="456" spans="1:29" x14ac:dyDescent="0.2">
      <c r="A456">
        <v>6854</v>
      </c>
      <c r="B456" t="s">
        <v>183</v>
      </c>
      <c r="C456">
        <v>22</v>
      </c>
      <c r="D456">
        <v>1132</v>
      </c>
      <c r="E456">
        <v>7</v>
      </c>
      <c r="F456" s="2">
        <f t="shared" si="70"/>
        <v>0.55653710247349819</v>
      </c>
      <c r="G456" s="2">
        <v>6.4377935975790024</v>
      </c>
      <c r="H456" s="2">
        <f t="shared" si="71"/>
        <v>0.51183871358843658</v>
      </c>
      <c r="I456">
        <v>4</v>
      </c>
      <c r="J456" s="2">
        <f t="shared" si="72"/>
        <v>0.31802120141342755</v>
      </c>
      <c r="K456" s="2">
        <v>1.7756053674966099</v>
      </c>
      <c r="L456" s="2">
        <f t="shared" si="73"/>
        <v>0.1411700380518506</v>
      </c>
      <c r="M456">
        <v>35</v>
      </c>
      <c r="N456" s="2">
        <f t="shared" si="74"/>
        <v>2.7826855123674914</v>
      </c>
      <c r="O456">
        <v>17</v>
      </c>
      <c r="P456" s="2">
        <f t="shared" si="75"/>
        <v>1.351590106007067</v>
      </c>
      <c r="Q456" s="3" t="s">
        <v>222</v>
      </c>
      <c r="R456" t="s">
        <v>31</v>
      </c>
      <c r="S456">
        <v>7</v>
      </c>
      <c r="T456" s="2">
        <f t="shared" si="76"/>
        <v>0.55653710247349819</v>
      </c>
      <c r="U456" s="2">
        <v>6.4377935975790024</v>
      </c>
      <c r="V456" s="2">
        <f t="shared" si="77"/>
        <v>0.51183871358843658</v>
      </c>
      <c r="W456" s="2">
        <v>8.1738698892295361</v>
      </c>
      <c r="X456" s="2">
        <f t="shared" si="78"/>
        <v>0.64986598059245426</v>
      </c>
      <c r="Y456" s="2">
        <v>3.900222478434443</v>
      </c>
      <c r="Z456" s="2">
        <f t="shared" si="79"/>
        <v>0.31008835959284442</v>
      </c>
      <c r="AA456">
        <v>2022</v>
      </c>
      <c r="AB456">
        <v>1</v>
      </c>
      <c r="AC456">
        <v>50000000</v>
      </c>
    </row>
    <row r="457" spans="1:29" x14ac:dyDescent="0.2">
      <c r="A457">
        <v>6935</v>
      </c>
      <c r="B457" t="s">
        <v>184</v>
      </c>
      <c r="C457">
        <v>35</v>
      </c>
      <c r="D457">
        <v>3148</v>
      </c>
      <c r="E457">
        <v>3</v>
      </c>
      <c r="F457" s="2">
        <f t="shared" si="70"/>
        <v>8.5768742058449809E-2</v>
      </c>
      <c r="G457" s="2">
        <v>3.2915524458512659</v>
      </c>
      <c r="H457" s="2">
        <f t="shared" si="71"/>
        <v>9.4104104233358937E-2</v>
      </c>
      <c r="I457">
        <v>1</v>
      </c>
      <c r="J457" s="2">
        <f t="shared" si="72"/>
        <v>2.8589580686149939E-2</v>
      </c>
      <c r="K457" s="2">
        <v>0.70406801998615265</v>
      </c>
      <c r="L457" s="2">
        <f t="shared" si="73"/>
        <v>2.0129009465931939E-2</v>
      </c>
      <c r="M457">
        <v>27</v>
      </c>
      <c r="N457" s="2">
        <f t="shared" si="74"/>
        <v>0.77191867852604834</v>
      </c>
      <c r="O457">
        <v>5</v>
      </c>
      <c r="P457" s="2">
        <f t="shared" si="75"/>
        <v>0.14294790343074967</v>
      </c>
      <c r="Q457" s="3" t="s">
        <v>224</v>
      </c>
      <c r="R457" t="s">
        <v>185</v>
      </c>
      <c r="S457">
        <v>3</v>
      </c>
      <c r="T457" s="2">
        <f t="shared" si="76"/>
        <v>8.5768742058449809E-2</v>
      </c>
      <c r="U457" s="2">
        <v>3.2915524458512659</v>
      </c>
      <c r="V457" s="2">
        <f t="shared" si="77"/>
        <v>9.4104104233358937E-2</v>
      </c>
      <c r="W457" s="2">
        <v>9.1326662357896566</v>
      </c>
      <c r="X457" s="2">
        <f t="shared" si="78"/>
        <v>0.2610990982277856</v>
      </c>
      <c r="Y457" s="2">
        <v>9.0154312383383512</v>
      </c>
      <c r="Z457" s="2">
        <f t="shared" si="79"/>
        <v>0.2577473988089109</v>
      </c>
      <c r="AA457">
        <v>2020</v>
      </c>
      <c r="AB457">
        <v>0</v>
      </c>
      <c r="AC457">
        <v>8000000</v>
      </c>
    </row>
    <row r="458" spans="1:29" x14ac:dyDescent="0.2">
      <c r="A458">
        <v>6935</v>
      </c>
      <c r="B458" t="s">
        <v>184</v>
      </c>
      <c r="C458">
        <v>31</v>
      </c>
      <c r="D458">
        <v>2744</v>
      </c>
      <c r="E458">
        <v>2</v>
      </c>
      <c r="F458" s="2">
        <f t="shared" si="70"/>
        <v>6.5597667638483959E-2</v>
      </c>
      <c r="G458" s="2">
        <v>2.1130206976085901</v>
      </c>
      <c r="H458" s="2">
        <f t="shared" si="71"/>
        <v>6.9304614717482921E-2</v>
      </c>
      <c r="I458">
        <v>2</v>
      </c>
      <c r="J458" s="2">
        <f t="shared" si="72"/>
        <v>6.5597667638483959E-2</v>
      </c>
      <c r="K458" s="2">
        <v>0.29378829896450043</v>
      </c>
      <c r="L458" s="2">
        <f t="shared" si="73"/>
        <v>9.6359135957744309E-3</v>
      </c>
      <c r="M458">
        <v>25</v>
      </c>
      <c r="N458" s="2">
        <f t="shared" si="74"/>
        <v>0.81997084548104959</v>
      </c>
      <c r="O458">
        <v>4</v>
      </c>
      <c r="P458" s="2">
        <f t="shared" si="75"/>
        <v>0.13119533527696792</v>
      </c>
      <c r="Q458" s="3" t="s">
        <v>224</v>
      </c>
      <c r="R458" t="s">
        <v>185</v>
      </c>
      <c r="S458">
        <v>2</v>
      </c>
      <c r="T458" s="2">
        <f t="shared" si="76"/>
        <v>6.5597667638483959E-2</v>
      </c>
      <c r="U458" s="2">
        <v>2.1130206976085901</v>
      </c>
      <c r="V458" s="2">
        <f t="shared" si="77"/>
        <v>6.9304614717482921E-2</v>
      </c>
      <c r="W458" s="2">
        <v>12.33389230072498</v>
      </c>
      <c r="X458" s="2">
        <f t="shared" si="78"/>
        <v>0.40453728391590676</v>
      </c>
      <c r="Y458" s="2">
        <v>12.130214311182501</v>
      </c>
      <c r="Z458" s="2">
        <f t="shared" si="79"/>
        <v>0.39785688338426567</v>
      </c>
      <c r="AA458">
        <v>2021</v>
      </c>
      <c r="AB458">
        <v>0</v>
      </c>
      <c r="AC458">
        <v>12000000</v>
      </c>
    </row>
    <row r="459" spans="1:29" x14ac:dyDescent="0.2">
      <c r="A459">
        <v>6935</v>
      </c>
      <c r="B459" t="s">
        <v>184</v>
      </c>
      <c r="C459">
        <v>18</v>
      </c>
      <c r="D459">
        <v>1600</v>
      </c>
      <c r="E459">
        <v>2</v>
      </c>
      <c r="F459" s="2">
        <f t="shared" si="70"/>
        <v>0.1125</v>
      </c>
      <c r="G459" s="2">
        <v>2.5115839689970021</v>
      </c>
      <c r="H459" s="2">
        <f t="shared" si="71"/>
        <v>0.14127659825608135</v>
      </c>
      <c r="I459">
        <v>0</v>
      </c>
      <c r="J459" s="2">
        <f t="shared" si="72"/>
        <v>0</v>
      </c>
      <c r="K459" s="2">
        <v>0.62822000309824944</v>
      </c>
      <c r="L459" s="2">
        <f t="shared" si="73"/>
        <v>3.5337375174276528E-2</v>
      </c>
      <c r="M459">
        <v>12</v>
      </c>
      <c r="N459" s="2">
        <f t="shared" si="74"/>
        <v>0.67499999999999993</v>
      </c>
      <c r="O459">
        <v>6</v>
      </c>
      <c r="P459" s="2">
        <f t="shared" si="75"/>
        <v>0.33749999999999997</v>
      </c>
      <c r="Q459" s="3" t="s">
        <v>224</v>
      </c>
      <c r="R459" t="s">
        <v>62</v>
      </c>
      <c r="S459">
        <v>2</v>
      </c>
      <c r="T459" s="2">
        <f t="shared" si="76"/>
        <v>0.1125</v>
      </c>
      <c r="U459" s="2">
        <v>2.5115839689970021</v>
      </c>
      <c r="V459" s="2">
        <f t="shared" si="77"/>
        <v>0.14127659825608135</v>
      </c>
      <c r="W459" s="2">
        <v>1.3947869138792151</v>
      </c>
      <c r="X459" s="2">
        <f t="shared" si="78"/>
        <v>7.8456763905705856E-2</v>
      </c>
      <c r="Y459" s="2">
        <v>1.2775431917980311</v>
      </c>
      <c r="Z459" s="2">
        <f t="shared" si="79"/>
        <v>7.186180453863926E-2</v>
      </c>
      <c r="AA459">
        <v>2022</v>
      </c>
      <c r="AB459">
        <v>1</v>
      </c>
      <c r="AC459">
        <v>35000000</v>
      </c>
    </row>
    <row r="460" spans="1:29" x14ac:dyDescent="0.2">
      <c r="A460">
        <v>6935</v>
      </c>
      <c r="B460" t="s">
        <v>184</v>
      </c>
      <c r="C460">
        <v>21</v>
      </c>
      <c r="D460">
        <v>1871</v>
      </c>
      <c r="E460">
        <v>1</v>
      </c>
      <c r="F460" s="2">
        <f t="shared" si="70"/>
        <v>4.8102618920363438E-2</v>
      </c>
      <c r="G460" s="2">
        <v>1.654671171680093</v>
      </c>
      <c r="H460" s="2">
        <f t="shared" si="71"/>
        <v>7.9594016809838783E-2</v>
      </c>
      <c r="I460">
        <v>0</v>
      </c>
      <c r="J460" s="2">
        <f t="shared" si="72"/>
        <v>0</v>
      </c>
      <c r="K460" s="2">
        <v>0.28518622927367687</v>
      </c>
      <c r="L460" s="2">
        <f t="shared" si="73"/>
        <v>1.3718204508087075E-2</v>
      </c>
      <c r="M460">
        <v>14</v>
      </c>
      <c r="N460" s="2">
        <f t="shared" si="74"/>
        <v>0.67343666488508824</v>
      </c>
      <c r="O460">
        <v>4</v>
      </c>
      <c r="P460" s="2">
        <f t="shared" si="75"/>
        <v>0.19241047568145375</v>
      </c>
      <c r="Q460" s="3" t="s">
        <v>224</v>
      </c>
      <c r="R460" t="s">
        <v>62</v>
      </c>
      <c r="S460">
        <v>1</v>
      </c>
      <c r="T460" s="2">
        <f t="shared" si="76"/>
        <v>4.8102618920363438E-2</v>
      </c>
      <c r="U460" s="2">
        <v>1.654671171680093</v>
      </c>
      <c r="V460" s="2">
        <f t="shared" si="77"/>
        <v>7.9594016809838783E-2</v>
      </c>
      <c r="W460" s="2">
        <v>3.5052518025040631</v>
      </c>
      <c r="X460" s="2">
        <f t="shared" si="78"/>
        <v>0.16861179167577001</v>
      </c>
      <c r="Y460" s="2">
        <v>3.4665323868393898</v>
      </c>
      <c r="Z460" s="2">
        <f t="shared" si="79"/>
        <v>0.16674928637923309</v>
      </c>
      <c r="AA460">
        <v>2023</v>
      </c>
      <c r="AB460">
        <v>1</v>
      </c>
      <c r="AC460">
        <v>35000000</v>
      </c>
    </row>
    <row r="461" spans="1:29" x14ac:dyDescent="0.2">
      <c r="A461">
        <v>6981</v>
      </c>
      <c r="B461" t="s">
        <v>186</v>
      </c>
      <c r="C461">
        <v>21</v>
      </c>
      <c r="D461">
        <v>1345</v>
      </c>
      <c r="E461">
        <v>0</v>
      </c>
      <c r="F461" s="2">
        <f t="shared" si="70"/>
        <v>0</v>
      </c>
      <c r="G461" s="2">
        <v>0.93421417474746704</v>
      </c>
      <c r="H461" s="2">
        <f t="shared" si="71"/>
        <v>6.2512472659681809E-2</v>
      </c>
      <c r="I461">
        <v>2</v>
      </c>
      <c r="J461" s="2">
        <f t="shared" si="72"/>
        <v>0.13382899628252787</v>
      </c>
      <c r="K461" s="2">
        <v>0.53001119382679462</v>
      </c>
      <c r="L461" s="2">
        <f t="shared" si="73"/>
        <v>3.5465433044172129E-2</v>
      </c>
      <c r="M461">
        <v>12</v>
      </c>
      <c r="N461" s="2">
        <f t="shared" si="74"/>
        <v>0.80297397769516732</v>
      </c>
      <c r="O461">
        <v>5</v>
      </c>
      <c r="P461" s="2">
        <f t="shared" si="75"/>
        <v>0.33457249070631967</v>
      </c>
      <c r="Q461" t="s">
        <v>223</v>
      </c>
      <c r="R461" t="s">
        <v>57</v>
      </c>
      <c r="S461">
        <v>0</v>
      </c>
      <c r="T461" s="2">
        <f t="shared" si="76"/>
        <v>0</v>
      </c>
      <c r="U461" s="2">
        <v>0.93421417474746704</v>
      </c>
      <c r="V461" s="2">
        <f t="shared" si="77"/>
        <v>6.2512472659681809E-2</v>
      </c>
      <c r="W461" s="2">
        <v>5.9548247409984469</v>
      </c>
      <c r="X461" s="2">
        <f t="shared" si="78"/>
        <v>0.3984641090630931</v>
      </c>
      <c r="Y461" s="2">
        <v>4.5259784422814846</v>
      </c>
      <c r="Z461" s="2">
        <f t="shared" si="79"/>
        <v>0.30285357606344504</v>
      </c>
      <c r="AA461">
        <v>2020</v>
      </c>
      <c r="AB461">
        <v>0</v>
      </c>
      <c r="AC461">
        <v>38000000</v>
      </c>
    </row>
    <row r="462" spans="1:29" x14ac:dyDescent="0.2">
      <c r="A462">
        <v>6981</v>
      </c>
      <c r="B462" t="s">
        <v>186</v>
      </c>
      <c r="C462">
        <v>31</v>
      </c>
      <c r="D462">
        <v>1517</v>
      </c>
      <c r="E462">
        <v>2</v>
      </c>
      <c r="F462" s="2">
        <f t="shared" si="70"/>
        <v>0.11865524060646011</v>
      </c>
      <c r="G462" s="2">
        <v>0.68632031232118607</v>
      </c>
      <c r="H462" s="2">
        <f t="shared" si="71"/>
        <v>4.0717750895785595E-2</v>
      </c>
      <c r="I462">
        <v>1</v>
      </c>
      <c r="J462" s="2">
        <f t="shared" si="72"/>
        <v>5.9327620303230057E-2</v>
      </c>
      <c r="K462" s="2">
        <v>1.599709424190223</v>
      </c>
      <c r="L462" s="2">
        <f t="shared" si="73"/>
        <v>9.4906953313856332E-2</v>
      </c>
      <c r="M462">
        <v>16</v>
      </c>
      <c r="N462" s="2">
        <f t="shared" si="74"/>
        <v>0.94924192485168091</v>
      </c>
      <c r="O462">
        <v>22</v>
      </c>
      <c r="P462" s="2">
        <f t="shared" si="75"/>
        <v>1.3052076466710614</v>
      </c>
      <c r="Q462" t="s">
        <v>223</v>
      </c>
      <c r="R462" t="s">
        <v>57</v>
      </c>
      <c r="S462">
        <v>2</v>
      </c>
      <c r="T462" s="2">
        <f t="shared" si="76"/>
        <v>0.11865524060646011</v>
      </c>
      <c r="U462" s="2">
        <v>0.68632031232118607</v>
      </c>
      <c r="V462" s="2">
        <f t="shared" si="77"/>
        <v>4.0717750895785595E-2</v>
      </c>
      <c r="W462" s="2">
        <v>6.6711605582386264</v>
      </c>
      <c r="X462" s="2">
        <f t="shared" si="78"/>
        <v>0.39578408058106546</v>
      </c>
      <c r="Y462" s="2">
        <v>5.3331301165744662</v>
      </c>
      <c r="Z462" s="2">
        <f t="shared" si="79"/>
        <v>0.31640191858385103</v>
      </c>
      <c r="AA462">
        <v>2021</v>
      </c>
      <c r="AB462">
        <v>0</v>
      </c>
      <c r="AC462">
        <v>33000000</v>
      </c>
    </row>
    <row r="463" spans="1:29" x14ac:dyDescent="0.2">
      <c r="A463">
        <v>6981</v>
      </c>
      <c r="B463" t="s">
        <v>186</v>
      </c>
      <c r="C463">
        <v>28</v>
      </c>
      <c r="D463">
        <v>2034</v>
      </c>
      <c r="E463">
        <v>2</v>
      </c>
      <c r="F463" s="2">
        <f t="shared" si="70"/>
        <v>8.8495575221238937E-2</v>
      </c>
      <c r="G463" s="2">
        <v>1.109675795771182</v>
      </c>
      <c r="H463" s="2">
        <f t="shared" si="71"/>
        <v>4.9100698927928413E-2</v>
      </c>
      <c r="I463">
        <v>2</v>
      </c>
      <c r="J463" s="2">
        <f t="shared" si="72"/>
        <v>8.8495575221238937E-2</v>
      </c>
      <c r="K463" s="2">
        <v>3.7845559045672421</v>
      </c>
      <c r="L463" s="2">
        <f t="shared" si="73"/>
        <v>0.16745822586580716</v>
      </c>
      <c r="M463">
        <v>16</v>
      </c>
      <c r="N463" s="2">
        <f t="shared" si="74"/>
        <v>0.70796460176991149</v>
      </c>
      <c r="O463">
        <v>43</v>
      </c>
      <c r="P463" s="2">
        <f t="shared" si="75"/>
        <v>1.902654867256637</v>
      </c>
      <c r="Q463" t="s">
        <v>223</v>
      </c>
      <c r="R463" t="s">
        <v>57</v>
      </c>
      <c r="S463">
        <v>2</v>
      </c>
      <c r="T463" s="2">
        <f t="shared" si="76"/>
        <v>8.8495575221238937E-2</v>
      </c>
      <c r="U463" s="2">
        <v>1.109675795771182</v>
      </c>
      <c r="V463" s="2">
        <f t="shared" si="77"/>
        <v>4.9100698927928413E-2</v>
      </c>
      <c r="W463" s="2">
        <v>11.54716131277382</v>
      </c>
      <c r="X463" s="2">
        <f t="shared" si="78"/>
        <v>0.51093634127317789</v>
      </c>
      <c r="Y463" s="2">
        <v>8.9606448002159595</v>
      </c>
      <c r="Z463" s="2">
        <f t="shared" si="79"/>
        <v>0.39648870797415753</v>
      </c>
      <c r="AA463">
        <v>2022</v>
      </c>
      <c r="AB463">
        <v>1</v>
      </c>
      <c r="AC463">
        <v>40000000</v>
      </c>
    </row>
    <row r="464" spans="1:29" x14ac:dyDescent="0.2">
      <c r="A464">
        <v>6981</v>
      </c>
      <c r="B464" t="s">
        <v>186</v>
      </c>
      <c r="C464">
        <v>20</v>
      </c>
      <c r="D464">
        <v>1158</v>
      </c>
      <c r="E464">
        <v>2</v>
      </c>
      <c r="F464" s="2">
        <f t="shared" si="70"/>
        <v>0.15544041450777202</v>
      </c>
      <c r="G464" s="2">
        <v>1.850306496024132</v>
      </c>
      <c r="H464" s="2">
        <f t="shared" si="71"/>
        <v>0.14380620435420716</v>
      </c>
      <c r="I464">
        <v>2</v>
      </c>
      <c r="J464" s="2">
        <f t="shared" si="72"/>
        <v>0.15544041450777202</v>
      </c>
      <c r="K464" s="2">
        <v>2.4354729754850268</v>
      </c>
      <c r="L464" s="2">
        <f t="shared" si="73"/>
        <v>0.18928546441593475</v>
      </c>
      <c r="M464">
        <v>12</v>
      </c>
      <c r="N464" s="2">
        <f t="shared" si="74"/>
        <v>0.93264248704663211</v>
      </c>
      <c r="O464">
        <v>17</v>
      </c>
      <c r="P464" s="2">
        <f t="shared" si="75"/>
        <v>1.3212435233160622</v>
      </c>
      <c r="Q464" t="s">
        <v>223</v>
      </c>
      <c r="R464" t="s">
        <v>57</v>
      </c>
      <c r="S464">
        <v>1</v>
      </c>
      <c r="T464" s="2">
        <f t="shared" si="76"/>
        <v>7.7720207253886009E-2</v>
      </c>
      <c r="U464" s="2">
        <v>1.089007660746574</v>
      </c>
      <c r="V464" s="2">
        <f t="shared" si="77"/>
        <v>8.4637901094293311E-2</v>
      </c>
      <c r="W464" s="2">
        <v>8.5832489207386971</v>
      </c>
      <c r="X464" s="2">
        <f t="shared" si="78"/>
        <v>0.66709188503150496</v>
      </c>
      <c r="Y464" s="2">
        <v>5.8982359394431114</v>
      </c>
      <c r="Z464" s="2">
        <f t="shared" si="79"/>
        <v>0.45841211964583772</v>
      </c>
      <c r="AA464">
        <v>2023</v>
      </c>
      <c r="AB464">
        <v>1</v>
      </c>
      <c r="AC464">
        <v>30000000</v>
      </c>
    </row>
    <row r="465" spans="1:29" x14ac:dyDescent="0.2">
      <c r="A465">
        <v>7193</v>
      </c>
      <c r="B465" t="s">
        <v>187</v>
      </c>
      <c r="C465">
        <v>30</v>
      </c>
      <c r="D465">
        <v>1938</v>
      </c>
      <c r="E465">
        <v>6</v>
      </c>
      <c r="F465" s="2">
        <f t="shared" si="70"/>
        <v>0.27863777089783281</v>
      </c>
      <c r="G465" s="2">
        <v>7.0259881541132927</v>
      </c>
      <c r="H465" s="2">
        <f t="shared" si="71"/>
        <v>0.3262842796027845</v>
      </c>
      <c r="I465">
        <v>6</v>
      </c>
      <c r="J465" s="2">
        <f t="shared" si="72"/>
        <v>0.27863777089783281</v>
      </c>
      <c r="K465" s="2">
        <v>4.8857342880219221</v>
      </c>
      <c r="L465" s="2">
        <f t="shared" si="73"/>
        <v>0.22689168520225644</v>
      </c>
      <c r="M465">
        <v>43</v>
      </c>
      <c r="N465" s="2">
        <f t="shared" si="74"/>
        <v>1.9969040247678018</v>
      </c>
      <c r="O465">
        <v>27</v>
      </c>
      <c r="P465" s="2">
        <f t="shared" si="75"/>
        <v>1.2538699690402477</v>
      </c>
      <c r="Q465" t="s">
        <v>222</v>
      </c>
      <c r="R465" t="s">
        <v>57</v>
      </c>
      <c r="S465">
        <v>6</v>
      </c>
      <c r="T465" s="2">
        <f t="shared" si="76"/>
        <v>0.27863777089783281</v>
      </c>
      <c r="U465" s="2">
        <v>7.0259881541132927</v>
      </c>
      <c r="V465" s="2">
        <f t="shared" si="77"/>
        <v>0.3262842796027845</v>
      </c>
      <c r="W465" s="2">
        <v>13.91331227123737</v>
      </c>
      <c r="X465" s="2">
        <f t="shared" si="78"/>
        <v>0.6461290528438407</v>
      </c>
      <c r="Y465" s="2">
        <v>3.8281389120966192</v>
      </c>
      <c r="Z465" s="2">
        <f t="shared" si="79"/>
        <v>0.17777734885897614</v>
      </c>
      <c r="AA465">
        <v>2020</v>
      </c>
      <c r="AB465">
        <v>0</v>
      </c>
      <c r="AC465">
        <v>25000000</v>
      </c>
    </row>
    <row r="466" spans="1:29" x14ac:dyDescent="0.2">
      <c r="A466">
        <v>7193</v>
      </c>
      <c r="B466" t="s">
        <v>187</v>
      </c>
      <c r="C466">
        <v>34</v>
      </c>
      <c r="D466">
        <v>2649</v>
      </c>
      <c r="E466">
        <v>11</v>
      </c>
      <c r="F466" s="2">
        <f t="shared" si="70"/>
        <v>0.37372593431483581</v>
      </c>
      <c r="G466" s="2">
        <v>9.1241948064416647</v>
      </c>
      <c r="H466" s="2">
        <f t="shared" si="71"/>
        <v>0.30999529353708938</v>
      </c>
      <c r="I466">
        <v>8</v>
      </c>
      <c r="J466" s="2">
        <f t="shared" si="72"/>
        <v>0.27180067950169873</v>
      </c>
      <c r="K466" s="2">
        <v>7.4307748042047024</v>
      </c>
      <c r="L466" s="2">
        <f t="shared" si="73"/>
        <v>0.25246120512586756</v>
      </c>
      <c r="M466">
        <v>97</v>
      </c>
      <c r="N466" s="2">
        <f t="shared" si="74"/>
        <v>3.2955832389580975</v>
      </c>
      <c r="O466">
        <v>45</v>
      </c>
      <c r="P466" s="2">
        <f t="shared" si="75"/>
        <v>1.5288788221970553</v>
      </c>
      <c r="Q466" t="s">
        <v>222</v>
      </c>
      <c r="R466" t="s">
        <v>57</v>
      </c>
      <c r="S466">
        <v>11</v>
      </c>
      <c r="T466" s="2">
        <f t="shared" si="76"/>
        <v>0.37372593431483581</v>
      </c>
      <c r="U466" s="2">
        <v>9.1241948064416647</v>
      </c>
      <c r="V466" s="2">
        <f t="shared" si="77"/>
        <v>0.30999529353708938</v>
      </c>
      <c r="W466" s="2">
        <v>18.031454913318161</v>
      </c>
      <c r="X466" s="2">
        <f t="shared" si="78"/>
        <v>0.6126202122305151</v>
      </c>
      <c r="Y466" s="2">
        <v>3.521644489839673</v>
      </c>
      <c r="Z466" s="2">
        <f t="shared" si="79"/>
        <v>0.11964817066272955</v>
      </c>
      <c r="AA466">
        <v>2021</v>
      </c>
      <c r="AB466">
        <v>0</v>
      </c>
      <c r="AC466">
        <v>70000000</v>
      </c>
    </row>
    <row r="467" spans="1:29" x14ac:dyDescent="0.2">
      <c r="A467">
        <v>7193</v>
      </c>
      <c r="B467" t="s">
        <v>187</v>
      </c>
      <c r="C467">
        <v>35</v>
      </c>
      <c r="D467">
        <v>2453</v>
      </c>
      <c r="E467">
        <v>15</v>
      </c>
      <c r="F467" s="2">
        <f t="shared" si="70"/>
        <v>0.55034651447207505</v>
      </c>
      <c r="G467" s="2">
        <v>12.850501528009771</v>
      </c>
      <c r="H467" s="2">
        <f t="shared" si="71"/>
        <v>0.47148191501055003</v>
      </c>
      <c r="I467">
        <v>8</v>
      </c>
      <c r="J467" s="2">
        <f t="shared" si="72"/>
        <v>0.29351814105177332</v>
      </c>
      <c r="K467" s="2">
        <v>8.6665368974208832</v>
      </c>
      <c r="L467" s="2">
        <f t="shared" si="73"/>
        <v>0.3179732249359476</v>
      </c>
      <c r="M467">
        <v>92</v>
      </c>
      <c r="N467" s="2">
        <f t="shared" si="74"/>
        <v>3.3754586220953935</v>
      </c>
      <c r="O467">
        <v>49</v>
      </c>
      <c r="P467" s="2">
        <f t="shared" si="75"/>
        <v>1.7977986139421118</v>
      </c>
      <c r="Q467" t="s">
        <v>222</v>
      </c>
      <c r="R467" t="s">
        <v>57</v>
      </c>
      <c r="S467">
        <v>15</v>
      </c>
      <c r="T467" s="2">
        <f t="shared" si="76"/>
        <v>0.55034651447207505</v>
      </c>
      <c r="U467" s="2">
        <v>12.850501528009771</v>
      </c>
      <c r="V467" s="2">
        <f t="shared" si="77"/>
        <v>0.47148191501055003</v>
      </c>
      <c r="W467" s="2">
        <v>25.837798319756981</v>
      </c>
      <c r="X467" s="2">
        <f t="shared" si="78"/>
        <v>0.94798281646071281</v>
      </c>
      <c r="Y467" s="2">
        <v>7.7095072101801634</v>
      </c>
      <c r="Z467" s="2">
        <f t="shared" si="79"/>
        <v>0.28286002809466559</v>
      </c>
      <c r="AA467">
        <v>2022</v>
      </c>
      <c r="AB467">
        <v>1</v>
      </c>
      <c r="AC467">
        <v>90000000</v>
      </c>
    </row>
    <row r="468" spans="1:29" x14ac:dyDescent="0.2">
      <c r="A468">
        <v>7193</v>
      </c>
      <c r="B468" t="s">
        <v>187</v>
      </c>
      <c r="C468">
        <v>34</v>
      </c>
      <c r="D468">
        <v>2534</v>
      </c>
      <c r="E468">
        <v>9</v>
      </c>
      <c r="F468" s="2">
        <f t="shared" si="70"/>
        <v>0.31965272296764008</v>
      </c>
      <c r="G468" s="2">
        <v>9.5096925785765034</v>
      </c>
      <c r="H468" s="2">
        <f t="shared" si="71"/>
        <v>0.3377554585919042</v>
      </c>
      <c r="I468">
        <v>9</v>
      </c>
      <c r="J468" s="2">
        <f t="shared" si="72"/>
        <v>0.31965272296764008</v>
      </c>
      <c r="K468" s="2">
        <v>10.24364968854934</v>
      </c>
      <c r="L468" s="2">
        <f t="shared" si="73"/>
        <v>0.36382339067460168</v>
      </c>
      <c r="M468">
        <v>70</v>
      </c>
      <c r="N468" s="2">
        <f t="shared" si="74"/>
        <v>2.4861878453038675</v>
      </c>
      <c r="O468">
        <v>59</v>
      </c>
      <c r="P468" s="2">
        <f t="shared" si="75"/>
        <v>2.0955011838989739</v>
      </c>
      <c r="Q468" t="s">
        <v>222</v>
      </c>
      <c r="R468" t="s">
        <v>57</v>
      </c>
      <c r="S468">
        <v>9</v>
      </c>
      <c r="T468" s="2">
        <f t="shared" si="76"/>
        <v>0.31965272296764008</v>
      </c>
      <c r="U468" s="2">
        <v>9.5096925785765034</v>
      </c>
      <c r="V468" s="2">
        <f t="shared" si="77"/>
        <v>0.3377554585919042</v>
      </c>
      <c r="W468" s="2">
        <v>22.97972276806831</v>
      </c>
      <c r="X468" s="2">
        <f t="shared" si="78"/>
        <v>0.81617010620605679</v>
      </c>
      <c r="Y468" s="2">
        <v>8.5979192778468132</v>
      </c>
      <c r="Z468" s="2">
        <f t="shared" si="79"/>
        <v>0.30537203433552218</v>
      </c>
      <c r="AA468">
        <v>2023</v>
      </c>
      <c r="AB468">
        <v>1</v>
      </c>
      <c r="AC468">
        <v>90000000</v>
      </c>
    </row>
    <row r="469" spans="1:29" x14ac:dyDescent="0.2">
      <c r="A469">
        <v>7236</v>
      </c>
      <c r="B469" t="s">
        <v>188</v>
      </c>
      <c r="C469">
        <v>19</v>
      </c>
      <c r="D469">
        <v>1474</v>
      </c>
      <c r="E469">
        <v>2</v>
      </c>
      <c r="F469" s="2">
        <f t="shared" si="70"/>
        <v>0.12211668928086837</v>
      </c>
      <c r="G469" s="2">
        <v>4.1653645541518927</v>
      </c>
      <c r="H469" s="2">
        <f t="shared" si="71"/>
        <v>0.25433026450045476</v>
      </c>
      <c r="I469">
        <v>0</v>
      </c>
      <c r="J469" s="2">
        <f t="shared" si="72"/>
        <v>0</v>
      </c>
      <c r="K469" s="2">
        <v>1.2851574923843141</v>
      </c>
      <c r="L469" s="2">
        <f t="shared" si="73"/>
        <v>7.846958908723764E-2</v>
      </c>
      <c r="M469">
        <v>17</v>
      </c>
      <c r="N469" s="2">
        <f t="shared" si="74"/>
        <v>1.0379918588873813</v>
      </c>
      <c r="O469">
        <v>7</v>
      </c>
      <c r="P469" s="2">
        <f t="shared" si="75"/>
        <v>0.42740841248303935</v>
      </c>
      <c r="Q469" t="s">
        <v>223</v>
      </c>
      <c r="R469" t="s">
        <v>85</v>
      </c>
      <c r="S469">
        <v>2</v>
      </c>
      <c r="T469" s="2">
        <f t="shared" si="76"/>
        <v>0.12211668928086837</v>
      </c>
      <c r="U469" s="2">
        <v>4.1653645541518927</v>
      </c>
      <c r="V469" s="2">
        <f t="shared" si="77"/>
        <v>0.25433026450045476</v>
      </c>
      <c r="W469" s="2">
        <v>6.6701695397496223</v>
      </c>
      <c r="X469" s="2">
        <f t="shared" si="78"/>
        <v>0.40726951056815874</v>
      </c>
      <c r="Y469" s="2">
        <v>3.1572436466813092</v>
      </c>
      <c r="Z469" s="2">
        <f t="shared" si="79"/>
        <v>0.19277607069288863</v>
      </c>
      <c r="AA469">
        <v>2018</v>
      </c>
      <c r="AB469">
        <v>0</v>
      </c>
      <c r="AC469">
        <v>18000000</v>
      </c>
    </row>
    <row r="470" spans="1:29" x14ac:dyDescent="0.2">
      <c r="A470">
        <v>7236</v>
      </c>
      <c r="B470" t="s">
        <v>188</v>
      </c>
      <c r="C470">
        <v>38</v>
      </c>
      <c r="D470">
        <v>2793</v>
      </c>
      <c r="E470">
        <v>4</v>
      </c>
      <c r="F470" s="2">
        <f t="shared" si="70"/>
        <v>0.1288936627282492</v>
      </c>
      <c r="G470" s="2">
        <v>2.6380444276146591</v>
      </c>
      <c r="H470" s="2">
        <f t="shared" si="71"/>
        <v>8.5006802178775265E-2</v>
      </c>
      <c r="I470">
        <v>0</v>
      </c>
      <c r="J470" s="2">
        <f t="shared" si="72"/>
        <v>0</v>
      </c>
      <c r="K470" s="2">
        <v>0.71694061253219843</v>
      </c>
      <c r="L470" s="2">
        <f t="shared" si="73"/>
        <v>2.3102275376977396E-2</v>
      </c>
      <c r="M470">
        <v>20</v>
      </c>
      <c r="N470" s="2">
        <f t="shared" si="74"/>
        <v>0.64446831364124602</v>
      </c>
      <c r="O470">
        <v>9</v>
      </c>
      <c r="P470" s="2">
        <f t="shared" si="75"/>
        <v>0.29001074113856068</v>
      </c>
      <c r="Q470" t="s">
        <v>223</v>
      </c>
      <c r="R470" t="s">
        <v>85</v>
      </c>
      <c r="S470">
        <v>4</v>
      </c>
      <c r="T470" s="2">
        <f t="shared" si="76"/>
        <v>0.1288936627282492</v>
      </c>
      <c r="U470" s="2">
        <v>2.6380444276146591</v>
      </c>
      <c r="V470" s="2">
        <f t="shared" si="77"/>
        <v>8.5006802178775265E-2</v>
      </c>
      <c r="W470" s="2">
        <v>9.5590864331461471</v>
      </c>
      <c r="X470" s="2">
        <f t="shared" si="78"/>
        <v>0.30802641567603051</v>
      </c>
      <c r="Y470" s="2">
        <v>8.4028864670544863</v>
      </c>
      <c r="Z470" s="2">
        <f t="shared" si="79"/>
        <v>0.27076970355707258</v>
      </c>
      <c r="AA470">
        <v>2019</v>
      </c>
      <c r="AB470">
        <v>0</v>
      </c>
      <c r="AC470">
        <v>28000000</v>
      </c>
    </row>
    <row r="471" spans="1:29" x14ac:dyDescent="0.2">
      <c r="A471">
        <v>7236</v>
      </c>
      <c r="B471" t="s">
        <v>188</v>
      </c>
      <c r="C471">
        <v>33</v>
      </c>
      <c r="D471">
        <v>2500</v>
      </c>
      <c r="E471">
        <v>1</v>
      </c>
      <c r="F471" s="2">
        <f t="shared" si="70"/>
        <v>3.6000000000000004E-2</v>
      </c>
      <c r="G471" s="2">
        <v>3.3815979287028308</v>
      </c>
      <c r="H471" s="2">
        <f t="shared" si="71"/>
        <v>0.12173752543330191</v>
      </c>
      <c r="I471">
        <v>0</v>
      </c>
      <c r="J471" s="2">
        <f t="shared" si="72"/>
        <v>0</v>
      </c>
      <c r="K471" s="2">
        <v>0.58133259601891041</v>
      </c>
      <c r="L471" s="2">
        <f t="shared" si="73"/>
        <v>2.0927973456680776E-2</v>
      </c>
      <c r="M471">
        <v>31</v>
      </c>
      <c r="N471" s="2">
        <f t="shared" si="74"/>
        <v>1.1159999999999999</v>
      </c>
      <c r="O471">
        <v>17</v>
      </c>
      <c r="P471" s="2">
        <f t="shared" si="75"/>
        <v>0.61199999999999999</v>
      </c>
      <c r="Q471" t="s">
        <v>223</v>
      </c>
      <c r="R471" t="s">
        <v>85</v>
      </c>
      <c r="S471">
        <v>1</v>
      </c>
      <c r="T471" s="2">
        <f t="shared" si="76"/>
        <v>3.6000000000000004E-2</v>
      </c>
      <c r="U471" s="2">
        <v>3.3815979287028308</v>
      </c>
      <c r="V471" s="2">
        <f t="shared" si="77"/>
        <v>0.12173752543330191</v>
      </c>
      <c r="W471" s="2">
        <v>8.1774748992174864</v>
      </c>
      <c r="X471" s="2">
        <f t="shared" si="78"/>
        <v>0.29438909637182953</v>
      </c>
      <c r="Y471" s="2">
        <v>5.3632427640259266</v>
      </c>
      <c r="Z471" s="2">
        <f t="shared" si="79"/>
        <v>0.19307673950493337</v>
      </c>
      <c r="AA471">
        <v>2020</v>
      </c>
      <c r="AB471">
        <v>1</v>
      </c>
      <c r="AC471">
        <v>30000000</v>
      </c>
    </row>
    <row r="472" spans="1:29" x14ac:dyDescent="0.2">
      <c r="A472">
        <v>7236</v>
      </c>
      <c r="B472" t="s">
        <v>188</v>
      </c>
      <c r="C472">
        <v>30</v>
      </c>
      <c r="D472">
        <v>1941</v>
      </c>
      <c r="E472">
        <v>2</v>
      </c>
      <c r="F472" s="2">
        <f t="shared" si="70"/>
        <v>9.2735703245749618E-2</v>
      </c>
      <c r="G472" s="2">
        <v>2.4547893097624178</v>
      </c>
      <c r="H472" s="2">
        <f t="shared" si="71"/>
        <v>0.11382330648048306</v>
      </c>
      <c r="I472">
        <v>2</v>
      </c>
      <c r="J472" s="2">
        <f t="shared" si="72"/>
        <v>9.2735703245749618E-2</v>
      </c>
      <c r="K472" s="2">
        <v>0.96512572839856159</v>
      </c>
      <c r="L472" s="2">
        <f t="shared" si="73"/>
        <v>4.475080657180347E-2</v>
      </c>
      <c r="M472">
        <v>23</v>
      </c>
      <c r="N472" s="2">
        <f t="shared" si="74"/>
        <v>1.0664605873261206</v>
      </c>
      <c r="O472">
        <v>11</v>
      </c>
      <c r="P472" s="2">
        <f t="shared" si="75"/>
        <v>0.51004636785162294</v>
      </c>
      <c r="Q472" t="s">
        <v>223</v>
      </c>
      <c r="R472" t="s">
        <v>85</v>
      </c>
      <c r="S472">
        <v>2</v>
      </c>
      <c r="T472" s="2">
        <f t="shared" si="76"/>
        <v>9.2735703245749618E-2</v>
      </c>
      <c r="U472" s="2">
        <v>2.4547893097624178</v>
      </c>
      <c r="V472" s="2">
        <f t="shared" si="77"/>
        <v>0.11382330648048306</v>
      </c>
      <c r="W472" s="2">
        <v>5.3461217898875466</v>
      </c>
      <c r="X472" s="2">
        <f t="shared" si="78"/>
        <v>0.24788818191132364</v>
      </c>
      <c r="Y472" s="2">
        <v>3.2436101939529181</v>
      </c>
      <c r="Z472" s="2">
        <f t="shared" si="79"/>
        <v>0.15039923619565307</v>
      </c>
      <c r="AA472">
        <v>2021</v>
      </c>
      <c r="AB472">
        <v>1</v>
      </c>
      <c r="AC472">
        <v>28000000</v>
      </c>
    </row>
    <row r="473" spans="1:29" x14ac:dyDescent="0.2">
      <c r="A473">
        <v>7313</v>
      </c>
      <c r="B473" t="s">
        <v>189</v>
      </c>
      <c r="C473">
        <v>30</v>
      </c>
      <c r="D473">
        <v>1398</v>
      </c>
      <c r="E473">
        <v>1</v>
      </c>
      <c r="F473" s="2">
        <f t="shared" si="70"/>
        <v>6.4377682403433473E-2</v>
      </c>
      <c r="G473" s="2">
        <v>1.488929483108222</v>
      </c>
      <c r="H473" s="2">
        <f t="shared" si="71"/>
        <v>9.5853829384649494E-2</v>
      </c>
      <c r="I473">
        <v>2</v>
      </c>
      <c r="J473" s="2">
        <f t="shared" si="72"/>
        <v>0.12875536480686695</v>
      </c>
      <c r="K473" s="2">
        <v>2.3026061840355401</v>
      </c>
      <c r="L473" s="2">
        <f t="shared" si="73"/>
        <v>0.14823644961602189</v>
      </c>
      <c r="M473">
        <v>36</v>
      </c>
      <c r="N473" s="2">
        <f t="shared" si="74"/>
        <v>2.3175965665236054</v>
      </c>
      <c r="O473">
        <v>22</v>
      </c>
      <c r="P473" s="2">
        <f t="shared" si="75"/>
        <v>1.4163090128755365</v>
      </c>
      <c r="Q473" t="s">
        <v>222</v>
      </c>
      <c r="R473" t="s">
        <v>190</v>
      </c>
      <c r="S473">
        <v>1</v>
      </c>
      <c r="T473" s="2">
        <f t="shared" si="76"/>
        <v>6.4377682403433473E-2</v>
      </c>
      <c r="U473" s="2">
        <v>1.488929483108222</v>
      </c>
      <c r="V473" s="2">
        <f t="shared" si="77"/>
        <v>9.5853829384649494E-2</v>
      </c>
      <c r="W473" s="2">
        <v>3.608994279056787</v>
      </c>
      <c r="X473" s="2">
        <f t="shared" si="78"/>
        <v>0.23233868749292622</v>
      </c>
      <c r="Y473" s="2">
        <v>1.5300316782668231</v>
      </c>
      <c r="Z473" s="2">
        <f t="shared" si="79"/>
        <v>9.8499893450653853E-2</v>
      </c>
      <c r="AA473">
        <v>2021</v>
      </c>
      <c r="AB473">
        <v>0</v>
      </c>
      <c r="AC473">
        <v>6000000</v>
      </c>
    </row>
    <row r="474" spans="1:29" x14ac:dyDescent="0.2">
      <c r="A474">
        <v>7313</v>
      </c>
      <c r="B474" t="s">
        <v>189</v>
      </c>
      <c r="C474">
        <v>36</v>
      </c>
      <c r="D474">
        <v>2876</v>
      </c>
      <c r="E474">
        <v>6</v>
      </c>
      <c r="F474" s="2">
        <f t="shared" si="70"/>
        <v>0.18776077885952713</v>
      </c>
      <c r="G474" s="2">
        <v>5.0140886465087533</v>
      </c>
      <c r="H474" s="2">
        <f t="shared" si="71"/>
        <v>0.15690819825653263</v>
      </c>
      <c r="I474">
        <v>6</v>
      </c>
      <c r="J474" s="2">
        <f t="shared" si="72"/>
        <v>0.18776077885952713</v>
      </c>
      <c r="K474" s="2">
        <v>6.462270581163466</v>
      </c>
      <c r="L474" s="2">
        <f t="shared" si="73"/>
        <v>0.2022268262533769</v>
      </c>
      <c r="M474">
        <v>46</v>
      </c>
      <c r="N474" s="2">
        <f t="shared" si="74"/>
        <v>1.439499304589708</v>
      </c>
      <c r="O474">
        <v>53</v>
      </c>
      <c r="P474" s="2">
        <f t="shared" si="75"/>
        <v>1.6585535465924894</v>
      </c>
      <c r="Q474" t="s">
        <v>222</v>
      </c>
      <c r="R474" t="s">
        <v>190</v>
      </c>
      <c r="S474">
        <v>6</v>
      </c>
      <c r="T474" s="2">
        <f t="shared" si="76"/>
        <v>0.18776077885952713</v>
      </c>
      <c r="U474" s="2">
        <v>5.0140886465087533</v>
      </c>
      <c r="V474" s="2">
        <f t="shared" si="77"/>
        <v>0.15690819825653263</v>
      </c>
      <c r="W474" s="2">
        <v>11.57072685472667</v>
      </c>
      <c r="X474" s="2">
        <f t="shared" si="78"/>
        <v>0.3620881143690543</v>
      </c>
      <c r="Y474" s="2">
        <v>4.8715087240561843</v>
      </c>
      <c r="Z474" s="2">
        <f t="shared" si="79"/>
        <v>0.15244637870829505</v>
      </c>
      <c r="AA474">
        <v>2022</v>
      </c>
      <c r="AB474">
        <v>0</v>
      </c>
      <c r="AC474">
        <v>22000000</v>
      </c>
    </row>
    <row r="475" spans="1:29" x14ac:dyDescent="0.2">
      <c r="A475">
        <v>7313</v>
      </c>
      <c r="B475" t="s">
        <v>189</v>
      </c>
      <c r="C475">
        <v>23</v>
      </c>
      <c r="D475">
        <v>1477</v>
      </c>
      <c r="E475">
        <v>3</v>
      </c>
      <c r="F475" s="2">
        <f t="shared" si="70"/>
        <v>0.18280297901150983</v>
      </c>
      <c r="G475" s="2">
        <v>2.020375344902277</v>
      </c>
      <c r="H475" s="2">
        <f t="shared" si="71"/>
        <v>0.12311021058984761</v>
      </c>
      <c r="I475">
        <v>4</v>
      </c>
      <c r="J475" s="2">
        <f t="shared" si="72"/>
        <v>0.24373730534867974</v>
      </c>
      <c r="K475" s="2">
        <v>3.2733469223603611</v>
      </c>
      <c r="L475" s="2">
        <f t="shared" si="73"/>
        <v>0.19945918958187711</v>
      </c>
      <c r="M475">
        <v>23</v>
      </c>
      <c r="N475" s="2">
        <f t="shared" si="74"/>
        <v>1.4014895057549086</v>
      </c>
      <c r="O475">
        <v>27</v>
      </c>
      <c r="P475" s="2">
        <f t="shared" si="75"/>
        <v>1.6452268111035884</v>
      </c>
      <c r="Q475" t="s">
        <v>222</v>
      </c>
      <c r="R475" t="s">
        <v>132</v>
      </c>
      <c r="S475">
        <v>3</v>
      </c>
      <c r="T475" s="2">
        <f t="shared" si="76"/>
        <v>0.18280297901150983</v>
      </c>
      <c r="U475" s="2">
        <v>2.020375344902277</v>
      </c>
      <c r="V475" s="2">
        <f t="shared" si="77"/>
        <v>0.12311021058984761</v>
      </c>
      <c r="W475" s="2">
        <v>10.943470425903801</v>
      </c>
      <c r="X475" s="2">
        <f t="shared" si="78"/>
        <v>0.66683299819319031</v>
      </c>
      <c r="Y475" s="2">
        <v>6.9288398958742619</v>
      </c>
      <c r="Z475" s="2">
        <f t="shared" si="79"/>
        <v>0.42220419135320481</v>
      </c>
      <c r="AA475">
        <v>2023</v>
      </c>
      <c r="AB475">
        <v>1</v>
      </c>
      <c r="AC475">
        <v>25000000</v>
      </c>
    </row>
    <row r="476" spans="1:29" x14ac:dyDescent="0.2">
      <c r="A476">
        <v>7313</v>
      </c>
      <c r="B476" t="s">
        <v>189</v>
      </c>
      <c r="C476">
        <v>30</v>
      </c>
      <c r="D476">
        <v>1670</v>
      </c>
      <c r="E476">
        <v>6</v>
      </c>
      <c r="F476" s="2">
        <f t="shared" si="70"/>
        <v>0.32335329341317365</v>
      </c>
      <c r="G476" s="2">
        <v>4.3106708209961653</v>
      </c>
      <c r="H476" s="2">
        <f t="shared" si="71"/>
        <v>0.23231160113152985</v>
      </c>
      <c r="I476">
        <v>6</v>
      </c>
      <c r="J476" s="2">
        <f t="shared" si="72"/>
        <v>0.32335329341317365</v>
      </c>
      <c r="K476" s="2">
        <v>6.8105005379766226</v>
      </c>
      <c r="L476" s="2">
        <f t="shared" si="73"/>
        <v>0.36703296312448863</v>
      </c>
      <c r="M476">
        <v>41</v>
      </c>
      <c r="N476" s="2">
        <f t="shared" si="74"/>
        <v>2.2095808383233533</v>
      </c>
      <c r="O476">
        <v>56</v>
      </c>
      <c r="P476" s="2">
        <f t="shared" si="75"/>
        <v>3.0179640718562872</v>
      </c>
      <c r="Q476" t="s">
        <v>222</v>
      </c>
      <c r="R476" t="s">
        <v>132</v>
      </c>
      <c r="S476">
        <v>6</v>
      </c>
      <c r="T476" s="2">
        <f t="shared" si="76"/>
        <v>0.32335329341317365</v>
      </c>
      <c r="U476" s="2">
        <v>4.3106708209961653</v>
      </c>
      <c r="V476" s="2">
        <f t="shared" si="77"/>
        <v>0.23231160113152985</v>
      </c>
      <c r="W476" s="2">
        <v>19.644584406167269</v>
      </c>
      <c r="X476" s="2">
        <f t="shared" si="78"/>
        <v>1.0586901775778768</v>
      </c>
      <c r="Y476" s="2">
        <v>12.53140404075384</v>
      </c>
      <c r="Z476" s="2">
        <f t="shared" si="79"/>
        <v>0.67534512794481771</v>
      </c>
      <c r="AA476">
        <v>2024</v>
      </c>
      <c r="AB476">
        <v>1</v>
      </c>
      <c r="AC476">
        <v>25000000</v>
      </c>
    </row>
    <row r="477" spans="1:29" x14ac:dyDescent="0.2">
      <c r="A477">
        <v>7350</v>
      </c>
      <c r="B477" t="s">
        <v>191</v>
      </c>
      <c r="C477">
        <v>32</v>
      </c>
      <c r="D477">
        <v>2311</v>
      </c>
      <c r="E477">
        <v>3</v>
      </c>
      <c r="F477" s="2">
        <f t="shared" si="70"/>
        <v>0.11683254002596279</v>
      </c>
      <c r="G477" s="2">
        <v>3.558775257319212</v>
      </c>
      <c r="H477" s="2">
        <f t="shared" si="71"/>
        <v>0.13859358423138429</v>
      </c>
      <c r="I477">
        <v>1</v>
      </c>
      <c r="J477" s="2">
        <f t="shared" si="72"/>
        <v>3.894418000865426E-2</v>
      </c>
      <c r="K477" s="2">
        <v>0.80194181296974421</v>
      </c>
      <c r="L477" s="2">
        <f t="shared" si="73"/>
        <v>3.1230966320760268E-2</v>
      </c>
      <c r="M477">
        <v>33</v>
      </c>
      <c r="N477" s="2">
        <f t="shared" si="74"/>
        <v>1.2851579402855906</v>
      </c>
      <c r="O477">
        <v>11</v>
      </c>
      <c r="P477" s="2">
        <f t="shared" si="75"/>
        <v>0.42838598009519691</v>
      </c>
      <c r="Q477" t="s">
        <v>223</v>
      </c>
      <c r="R477" t="s">
        <v>192</v>
      </c>
      <c r="S477">
        <v>3</v>
      </c>
      <c r="T477" s="2">
        <f t="shared" si="76"/>
        <v>0.11683254002596279</v>
      </c>
      <c r="U477" s="2">
        <v>3.558775257319212</v>
      </c>
      <c r="V477" s="2">
        <f t="shared" si="77"/>
        <v>0.13859358423138429</v>
      </c>
      <c r="W477" s="2">
        <v>5.8398934714496136</v>
      </c>
      <c r="X477" s="2">
        <f t="shared" si="78"/>
        <v>0.22742986258349859</v>
      </c>
      <c r="Y477" s="2">
        <v>3.9800384184345599</v>
      </c>
      <c r="Z477" s="2">
        <f t="shared" si="79"/>
        <v>0.15499933260887511</v>
      </c>
      <c r="AA477">
        <v>2020</v>
      </c>
      <c r="AB477">
        <v>0</v>
      </c>
      <c r="AC477">
        <v>18000000</v>
      </c>
    </row>
    <row r="478" spans="1:29" x14ac:dyDescent="0.2">
      <c r="A478">
        <v>7350</v>
      </c>
      <c r="B478" t="s">
        <v>191</v>
      </c>
      <c r="C478">
        <v>23</v>
      </c>
      <c r="D478">
        <v>1666</v>
      </c>
      <c r="E478">
        <v>1</v>
      </c>
      <c r="F478" s="2">
        <f t="shared" si="70"/>
        <v>5.4021608643457376E-2</v>
      </c>
      <c r="G478" s="2">
        <v>1.2322233151644471</v>
      </c>
      <c r="H478" s="2">
        <f t="shared" si="71"/>
        <v>6.6566685693157407E-2</v>
      </c>
      <c r="I478">
        <v>1</v>
      </c>
      <c r="J478" s="2">
        <f t="shared" si="72"/>
        <v>5.4021608643457376E-2</v>
      </c>
      <c r="K478" s="2">
        <v>0.79183528386056423</v>
      </c>
      <c r="L478" s="2">
        <f t="shared" si="73"/>
        <v>4.2776215814796389E-2</v>
      </c>
      <c r="M478">
        <v>15</v>
      </c>
      <c r="N478" s="2">
        <f t="shared" si="74"/>
        <v>0.81032412965186074</v>
      </c>
      <c r="O478">
        <v>12</v>
      </c>
      <c r="P478" s="2">
        <f t="shared" si="75"/>
        <v>0.64825930372148854</v>
      </c>
      <c r="Q478" t="s">
        <v>223</v>
      </c>
      <c r="R478" t="s">
        <v>193</v>
      </c>
      <c r="S478">
        <v>1</v>
      </c>
      <c r="T478" s="2">
        <f t="shared" si="76"/>
        <v>5.4021608643457376E-2</v>
      </c>
      <c r="U478" s="2">
        <v>1.2322233151644471</v>
      </c>
      <c r="V478" s="2">
        <f t="shared" si="77"/>
        <v>6.6566685693157407E-2</v>
      </c>
      <c r="W478" s="2">
        <v>4.6934441700577736</v>
      </c>
      <c r="X478" s="2">
        <f t="shared" si="78"/>
        <v>0.25354740414477772</v>
      </c>
      <c r="Y478" s="2">
        <v>3.1911178007721901</v>
      </c>
      <c r="Z478" s="2">
        <f t="shared" si="79"/>
        <v>0.17238931696848567</v>
      </c>
      <c r="AA478">
        <v>2021</v>
      </c>
      <c r="AB478">
        <v>0</v>
      </c>
      <c r="AC478">
        <v>14000000</v>
      </c>
    </row>
    <row r="479" spans="1:29" x14ac:dyDescent="0.2">
      <c r="A479">
        <v>7350</v>
      </c>
      <c r="B479" t="s">
        <v>191</v>
      </c>
      <c r="C479">
        <v>20</v>
      </c>
      <c r="D479">
        <v>961</v>
      </c>
      <c r="E479">
        <v>2</v>
      </c>
      <c r="F479" s="2">
        <f t="shared" si="70"/>
        <v>0.18730489073881376</v>
      </c>
      <c r="G479" s="2">
        <v>3.0594730190932751</v>
      </c>
      <c r="H479" s="2">
        <f t="shared" si="71"/>
        <v>0.28652712977980721</v>
      </c>
      <c r="I479">
        <v>2</v>
      </c>
      <c r="J479" s="2">
        <f t="shared" si="72"/>
        <v>0.18730489073881376</v>
      </c>
      <c r="K479" s="2">
        <v>1.800222447142005</v>
      </c>
      <c r="L479" s="2">
        <f t="shared" si="73"/>
        <v>0.16859523438374657</v>
      </c>
      <c r="M479">
        <v>24</v>
      </c>
      <c r="N479" s="2">
        <f t="shared" si="74"/>
        <v>2.2476586888657648</v>
      </c>
      <c r="O479">
        <v>11</v>
      </c>
      <c r="P479" s="2">
        <f t="shared" si="75"/>
        <v>1.0301768990634756</v>
      </c>
      <c r="Q479" t="s">
        <v>223</v>
      </c>
      <c r="R479" t="s">
        <v>194</v>
      </c>
      <c r="S479">
        <v>2</v>
      </c>
      <c r="T479" s="2">
        <f t="shared" si="76"/>
        <v>0.18730489073881376</v>
      </c>
      <c r="U479" s="2">
        <v>3.0594730190932751</v>
      </c>
      <c r="V479" s="2">
        <f t="shared" si="77"/>
        <v>0.28652712977980721</v>
      </c>
      <c r="W479" s="2">
        <v>5.2483975514769554</v>
      </c>
      <c r="X479" s="2">
        <f t="shared" si="78"/>
        <v>0.49152526496662435</v>
      </c>
      <c r="Y479" s="2">
        <v>2.6771380137652159</v>
      </c>
      <c r="Z479" s="2">
        <f t="shared" si="79"/>
        <v>0.25072052158050928</v>
      </c>
      <c r="AA479">
        <v>2022</v>
      </c>
      <c r="AB479">
        <v>1</v>
      </c>
      <c r="AC479">
        <v>5000000</v>
      </c>
    </row>
    <row r="480" spans="1:29" x14ac:dyDescent="0.2">
      <c r="A480">
        <v>7350</v>
      </c>
      <c r="B480" t="s">
        <v>191</v>
      </c>
      <c r="C480">
        <v>29</v>
      </c>
      <c r="D480">
        <v>2164</v>
      </c>
      <c r="E480">
        <v>5</v>
      </c>
      <c r="F480" s="2">
        <f t="shared" si="70"/>
        <v>0.20794824399260631</v>
      </c>
      <c r="G480" s="2">
        <v>6.0530829429626456</v>
      </c>
      <c r="H480" s="2">
        <f t="shared" si="71"/>
        <v>0.25174559374613592</v>
      </c>
      <c r="I480">
        <v>0</v>
      </c>
      <c r="J480" s="2">
        <f t="shared" si="72"/>
        <v>0</v>
      </c>
      <c r="K480" s="2">
        <v>2.1153405918739741</v>
      </c>
      <c r="L480" s="2">
        <f t="shared" si="73"/>
        <v>8.7976272305294659E-2</v>
      </c>
      <c r="M480">
        <v>52</v>
      </c>
      <c r="N480" s="2">
        <f t="shared" si="74"/>
        <v>2.1626617375231052</v>
      </c>
      <c r="O480">
        <v>18</v>
      </c>
      <c r="P480" s="2">
        <f t="shared" si="75"/>
        <v>0.74861367837338255</v>
      </c>
      <c r="Q480" t="s">
        <v>223</v>
      </c>
      <c r="R480" t="s">
        <v>194</v>
      </c>
      <c r="S480">
        <v>5</v>
      </c>
      <c r="T480" s="2">
        <f t="shared" si="76"/>
        <v>0.20794824399260631</v>
      </c>
      <c r="U480" s="2">
        <v>6.0530829429626456</v>
      </c>
      <c r="V480" s="2">
        <f t="shared" si="77"/>
        <v>0.25174559374613592</v>
      </c>
      <c r="W480" s="2">
        <v>18.590083649381999</v>
      </c>
      <c r="X480" s="2">
        <f t="shared" si="78"/>
        <v>0.77315505011292973</v>
      </c>
      <c r="Y480" s="2">
        <v>13.715097695589071</v>
      </c>
      <c r="Z480" s="2">
        <f t="shared" si="79"/>
        <v>0.57040609639695772</v>
      </c>
      <c r="AA480">
        <v>2023</v>
      </c>
      <c r="AB480">
        <v>1</v>
      </c>
      <c r="AC480">
        <v>25000000</v>
      </c>
    </row>
    <row r="481" spans="1:29" x14ac:dyDescent="0.2">
      <c r="A481">
        <v>7365</v>
      </c>
      <c r="B481" t="s">
        <v>195</v>
      </c>
      <c r="C481">
        <v>30</v>
      </c>
      <c r="D481">
        <v>2303</v>
      </c>
      <c r="E481">
        <v>9</v>
      </c>
      <c r="F481" s="2">
        <f t="shared" si="70"/>
        <v>0.35171515414676507</v>
      </c>
      <c r="G481" s="2">
        <v>7.5770465154200792</v>
      </c>
      <c r="H481" s="2">
        <f t="shared" si="71"/>
        <v>0.29610689812757585</v>
      </c>
      <c r="I481">
        <v>5</v>
      </c>
      <c r="J481" s="2">
        <f t="shared" si="72"/>
        <v>0.19539730785931395</v>
      </c>
      <c r="K481" s="2">
        <v>6.4073186963796616</v>
      </c>
      <c r="L481" s="2">
        <f t="shared" si="73"/>
        <v>0.25039456477384697</v>
      </c>
      <c r="M481">
        <v>55</v>
      </c>
      <c r="N481" s="2">
        <f t="shared" si="74"/>
        <v>2.1493703864524534</v>
      </c>
      <c r="O481">
        <v>44</v>
      </c>
      <c r="P481" s="2">
        <f t="shared" si="75"/>
        <v>1.7194963091619626</v>
      </c>
      <c r="Q481" t="s">
        <v>223</v>
      </c>
      <c r="R481" t="s">
        <v>82</v>
      </c>
      <c r="S481">
        <v>9</v>
      </c>
      <c r="T481" s="2">
        <f t="shared" si="76"/>
        <v>0.35171515414676507</v>
      </c>
      <c r="U481" s="2">
        <v>7.5770465154200792</v>
      </c>
      <c r="V481" s="2">
        <f t="shared" si="77"/>
        <v>0.29610689812757585</v>
      </c>
      <c r="W481" s="2">
        <v>22.924588384106759</v>
      </c>
      <c r="X481" s="2">
        <f t="shared" si="78"/>
        <v>0.89588057080747208</v>
      </c>
      <c r="Y481" s="2">
        <v>11.420268502086399</v>
      </c>
      <c r="Z481" s="2">
        <f t="shared" si="79"/>
        <v>0.44629794406764045</v>
      </c>
      <c r="AA481">
        <v>2020</v>
      </c>
      <c r="AB481">
        <v>0</v>
      </c>
      <c r="AC481">
        <v>35000000</v>
      </c>
    </row>
    <row r="482" spans="1:29" x14ac:dyDescent="0.2">
      <c r="A482">
        <v>7365</v>
      </c>
      <c r="B482" t="s">
        <v>195</v>
      </c>
      <c r="C482">
        <v>35</v>
      </c>
      <c r="D482">
        <v>2730</v>
      </c>
      <c r="E482">
        <v>9</v>
      </c>
      <c r="F482" s="2">
        <f t="shared" si="70"/>
        <v>0.2967032967032967</v>
      </c>
      <c r="G482" s="2">
        <v>9.3924373239278793</v>
      </c>
      <c r="H482" s="2">
        <f t="shared" si="71"/>
        <v>0.30964079089872132</v>
      </c>
      <c r="I482">
        <v>6</v>
      </c>
      <c r="J482" s="2">
        <f t="shared" si="72"/>
        <v>0.19780219780219779</v>
      </c>
      <c r="K482" s="2">
        <v>4.8732272777706376</v>
      </c>
      <c r="L482" s="2">
        <f t="shared" si="73"/>
        <v>0.16065584432210894</v>
      </c>
      <c r="M482">
        <v>87</v>
      </c>
      <c r="N482" s="2">
        <f t="shared" si="74"/>
        <v>2.8681318681318677</v>
      </c>
      <c r="O482">
        <v>42</v>
      </c>
      <c r="P482" s="2">
        <f t="shared" si="75"/>
        <v>1.3846153846153846</v>
      </c>
      <c r="Q482" t="s">
        <v>223</v>
      </c>
      <c r="R482" t="s">
        <v>82</v>
      </c>
      <c r="S482">
        <v>8</v>
      </c>
      <c r="T482" s="2">
        <f t="shared" si="76"/>
        <v>0.26373626373626374</v>
      </c>
      <c r="U482" s="2">
        <v>8.6323419213294983</v>
      </c>
      <c r="V482" s="2">
        <f t="shared" si="77"/>
        <v>0.28458270070317027</v>
      </c>
      <c r="W482" s="2">
        <v>22.659942880272869</v>
      </c>
      <c r="X482" s="2">
        <f t="shared" si="78"/>
        <v>0.74703108396503959</v>
      </c>
      <c r="Y482" s="2">
        <v>12.401619154959921</v>
      </c>
      <c r="Z482" s="2">
        <f t="shared" si="79"/>
        <v>0.40884458752615127</v>
      </c>
      <c r="AA482">
        <v>2021</v>
      </c>
      <c r="AB482">
        <v>0</v>
      </c>
      <c r="AC482">
        <v>35000000</v>
      </c>
    </row>
    <row r="483" spans="1:29" x14ac:dyDescent="0.2">
      <c r="A483">
        <v>7365</v>
      </c>
      <c r="B483" t="s">
        <v>195</v>
      </c>
      <c r="C483">
        <v>28</v>
      </c>
      <c r="D483">
        <v>2209</v>
      </c>
      <c r="E483">
        <v>4</v>
      </c>
      <c r="F483" s="2">
        <f t="shared" si="70"/>
        <v>0.16296966953372566</v>
      </c>
      <c r="G483" s="2">
        <v>5.0467960555106401</v>
      </c>
      <c r="H483" s="2">
        <f t="shared" si="71"/>
        <v>0.20561867134266981</v>
      </c>
      <c r="I483">
        <v>3</v>
      </c>
      <c r="J483" s="2">
        <f t="shared" si="72"/>
        <v>0.12222725215029426</v>
      </c>
      <c r="K483" s="2">
        <v>2.8692219518125062</v>
      </c>
      <c r="L483" s="2">
        <f t="shared" si="73"/>
        <v>0.11689903832644888</v>
      </c>
      <c r="M483">
        <v>53</v>
      </c>
      <c r="N483" s="2">
        <f t="shared" si="74"/>
        <v>2.159348121321865</v>
      </c>
      <c r="O483">
        <v>32</v>
      </c>
      <c r="P483" s="2">
        <f t="shared" si="75"/>
        <v>1.3037573562698053</v>
      </c>
      <c r="Q483" t="s">
        <v>223</v>
      </c>
      <c r="R483" t="s">
        <v>62</v>
      </c>
      <c r="S483">
        <v>3</v>
      </c>
      <c r="T483" s="2">
        <f t="shared" si="76"/>
        <v>0.12222725215029426</v>
      </c>
      <c r="U483" s="2">
        <v>4.2856270540505648</v>
      </c>
      <c r="V483" s="2">
        <f t="shared" si="77"/>
        <v>0.17460680618585372</v>
      </c>
      <c r="W483" s="2">
        <v>9.5690891426056623</v>
      </c>
      <c r="X483" s="2">
        <f t="shared" si="78"/>
        <v>0.38986782382730178</v>
      </c>
      <c r="Y483" s="2">
        <v>4.3524592835456133</v>
      </c>
      <c r="Z483" s="2">
        <f t="shared" si="79"/>
        <v>0.17732971277460624</v>
      </c>
      <c r="AA483">
        <v>2022</v>
      </c>
      <c r="AB483">
        <v>1</v>
      </c>
      <c r="AC483">
        <v>45000000</v>
      </c>
    </row>
    <row r="484" spans="1:29" x14ac:dyDescent="0.2">
      <c r="A484">
        <v>7365</v>
      </c>
      <c r="B484" t="s">
        <v>195</v>
      </c>
      <c r="C484">
        <v>31</v>
      </c>
      <c r="D484">
        <v>2676</v>
      </c>
      <c r="E484">
        <v>4</v>
      </c>
      <c r="F484" s="2">
        <f t="shared" si="70"/>
        <v>0.13452914798206278</v>
      </c>
      <c r="G484" s="2">
        <v>4.605092185549438</v>
      </c>
      <c r="H484" s="2">
        <f t="shared" si="71"/>
        <v>0.1548797820252053</v>
      </c>
      <c r="I484">
        <v>6</v>
      </c>
      <c r="J484" s="2">
        <f t="shared" si="72"/>
        <v>0.20179372197309417</v>
      </c>
      <c r="K484" s="2">
        <v>5.8330317754298449</v>
      </c>
      <c r="L484" s="2">
        <f t="shared" si="73"/>
        <v>0.19617819872521899</v>
      </c>
      <c r="M484">
        <v>42</v>
      </c>
      <c r="N484" s="2">
        <f t="shared" si="74"/>
        <v>1.4125560538116593</v>
      </c>
      <c r="O484">
        <v>41</v>
      </c>
      <c r="P484" s="2">
        <f t="shared" si="75"/>
        <v>1.3789237668161434</v>
      </c>
      <c r="Q484" t="s">
        <v>223</v>
      </c>
      <c r="R484" t="s">
        <v>62</v>
      </c>
      <c r="S484">
        <v>2</v>
      </c>
      <c r="T484" s="2">
        <f t="shared" si="76"/>
        <v>6.726457399103139E-2</v>
      </c>
      <c r="U484" s="2">
        <v>3.082754510454834</v>
      </c>
      <c r="V484" s="2">
        <f t="shared" si="77"/>
        <v>0.10368008443233748</v>
      </c>
      <c r="W484" s="2">
        <v>13.320021394640211</v>
      </c>
      <c r="X484" s="2">
        <f t="shared" si="78"/>
        <v>0.44798278233094885</v>
      </c>
      <c r="Y484" s="2">
        <v>7.1064062993973494</v>
      </c>
      <c r="Z484" s="2">
        <f t="shared" si="79"/>
        <v>0.23900469616807229</v>
      </c>
      <c r="AA484">
        <v>2023</v>
      </c>
      <c r="AB484">
        <v>1</v>
      </c>
      <c r="AC484">
        <v>65000000</v>
      </c>
    </row>
    <row r="485" spans="1:29" x14ac:dyDescent="0.2">
      <c r="A485">
        <v>7432</v>
      </c>
      <c r="B485" t="s">
        <v>196</v>
      </c>
      <c r="C485">
        <v>16</v>
      </c>
      <c r="D485">
        <v>1110</v>
      </c>
      <c r="E485">
        <v>0</v>
      </c>
      <c r="F485" s="2">
        <f t="shared" si="70"/>
        <v>0</v>
      </c>
      <c r="G485" s="2">
        <v>3.778459969907999E-2</v>
      </c>
      <c r="H485" s="2">
        <f t="shared" si="71"/>
        <v>3.0636161918172968E-3</v>
      </c>
      <c r="I485">
        <v>0</v>
      </c>
      <c r="J485" s="2">
        <f t="shared" si="72"/>
        <v>0</v>
      </c>
      <c r="K485" s="2">
        <v>0.31153430417180061</v>
      </c>
      <c r="L485" s="2">
        <f t="shared" si="73"/>
        <v>2.5259538176091941E-2</v>
      </c>
      <c r="M485">
        <v>2</v>
      </c>
      <c r="N485" s="2">
        <f t="shared" si="74"/>
        <v>0.16216216216216217</v>
      </c>
      <c r="O485">
        <v>6</v>
      </c>
      <c r="P485" s="2">
        <f t="shared" si="75"/>
        <v>0.48648648648648651</v>
      </c>
      <c r="Q485" t="s">
        <v>224</v>
      </c>
      <c r="R485" t="s">
        <v>143</v>
      </c>
      <c r="S485">
        <v>0</v>
      </c>
      <c r="T485" s="2">
        <f t="shared" si="76"/>
        <v>0</v>
      </c>
      <c r="U485" s="2">
        <v>3.778459969907999E-2</v>
      </c>
      <c r="V485" s="2">
        <f t="shared" si="77"/>
        <v>3.0636161918172968E-3</v>
      </c>
      <c r="W485" s="2">
        <v>2.390346292406321</v>
      </c>
      <c r="X485" s="2">
        <f t="shared" si="78"/>
        <v>0.19381186154645846</v>
      </c>
      <c r="Y485" s="2">
        <v>2.1768770851194859</v>
      </c>
      <c r="Z485" s="2">
        <f t="shared" si="79"/>
        <v>0.17650354744212046</v>
      </c>
      <c r="AA485">
        <v>2019</v>
      </c>
      <c r="AB485">
        <v>0</v>
      </c>
      <c r="AC485">
        <v>3000000</v>
      </c>
    </row>
    <row r="486" spans="1:29" x14ac:dyDescent="0.2">
      <c r="A486">
        <v>7432</v>
      </c>
      <c r="B486" t="s">
        <v>196</v>
      </c>
      <c r="C486">
        <v>29</v>
      </c>
      <c r="D486">
        <v>2181</v>
      </c>
      <c r="E486">
        <v>0</v>
      </c>
      <c r="F486" s="2">
        <f t="shared" si="70"/>
        <v>0</v>
      </c>
      <c r="G486" s="2">
        <v>9.9881701171398163E-2</v>
      </c>
      <c r="H486" s="2">
        <f t="shared" si="71"/>
        <v>4.1216657979944215E-3</v>
      </c>
      <c r="I486">
        <v>0</v>
      </c>
      <c r="J486" s="2">
        <f t="shared" si="72"/>
        <v>0</v>
      </c>
      <c r="K486" s="2">
        <v>1.4860181920230391</v>
      </c>
      <c r="L486" s="2">
        <f t="shared" si="73"/>
        <v>6.1321245888158425E-2</v>
      </c>
      <c r="M486">
        <v>4</v>
      </c>
      <c r="N486" s="2">
        <f t="shared" si="74"/>
        <v>0.16506189821182943</v>
      </c>
      <c r="O486">
        <v>18</v>
      </c>
      <c r="P486" s="2">
        <f t="shared" si="75"/>
        <v>0.74277854195323234</v>
      </c>
      <c r="Q486" t="s">
        <v>224</v>
      </c>
      <c r="R486" t="s">
        <v>143</v>
      </c>
      <c r="S486">
        <v>0</v>
      </c>
      <c r="T486" s="2">
        <f t="shared" si="76"/>
        <v>0</v>
      </c>
      <c r="U486" s="2">
        <v>9.9881701171398163E-2</v>
      </c>
      <c r="V486" s="2">
        <f t="shared" si="77"/>
        <v>4.1216657979944215E-3</v>
      </c>
      <c r="W486" s="2">
        <v>5.9128659628331661</v>
      </c>
      <c r="X486" s="2">
        <f t="shared" si="78"/>
        <v>0.24399721992433973</v>
      </c>
      <c r="Y486" s="2">
        <v>4.4562374912202358</v>
      </c>
      <c r="Z486" s="2">
        <f t="shared" si="79"/>
        <v>0.18388875479588321</v>
      </c>
      <c r="AA486">
        <v>2020</v>
      </c>
      <c r="AB486">
        <v>0</v>
      </c>
      <c r="AC486">
        <v>9000000</v>
      </c>
    </row>
    <row r="487" spans="1:29" x14ac:dyDescent="0.2">
      <c r="A487">
        <v>7432</v>
      </c>
      <c r="B487" t="s">
        <v>196</v>
      </c>
      <c r="C487">
        <v>17</v>
      </c>
      <c r="D487">
        <v>1305</v>
      </c>
      <c r="E487">
        <v>0</v>
      </c>
      <c r="F487" s="2">
        <f t="shared" si="70"/>
        <v>0</v>
      </c>
      <c r="G487" s="2">
        <v>0.2533860057592392</v>
      </c>
      <c r="H487" s="2">
        <f t="shared" si="71"/>
        <v>1.7474896948913049E-2</v>
      </c>
      <c r="I487">
        <v>0</v>
      </c>
      <c r="J487" s="2">
        <f t="shared" si="72"/>
        <v>0</v>
      </c>
      <c r="K487" s="2">
        <v>8.5215898230671883E-2</v>
      </c>
      <c r="L487" s="2">
        <f t="shared" si="73"/>
        <v>5.8769584986670268E-3</v>
      </c>
      <c r="M487">
        <v>2</v>
      </c>
      <c r="N487" s="2">
        <f t="shared" si="74"/>
        <v>0.13793103448275862</v>
      </c>
      <c r="O487">
        <v>3</v>
      </c>
      <c r="P487" s="2">
        <f t="shared" si="75"/>
        <v>0.20689655172413793</v>
      </c>
      <c r="Q487" t="s">
        <v>224</v>
      </c>
      <c r="R487" t="s">
        <v>175</v>
      </c>
      <c r="S487">
        <v>0</v>
      </c>
      <c r="T487" s="2">
        <f t="shared" si="76"/>
        <v>0</v>
      </c>
      <c r="U487" s="2">
        <v>0.2533860057592392</v>
      </c>
      <c r="V487" s="2">
        <f t="shared" si="77"/>
        <v>1.7474896948913049E-2</v>
      </c>
      <c r="W487" s="2">
        <v>2.6172784082591538</v>
      </c>
      <c r="X487" s="2">
        <f t="shared" si="78"/>
        <v>0.18050195919028644</v>
      </c>
      <c r="Y487" s="2">
        <v>2.5516461115330462</v>
      </c>
      <c r="Z487" s="2">
        <f t="shared" si="79"/>
        <v>0.17597559389883077</v>
      </c>
      <c r="AA487">
        <v>2021</v>
      </c>
      <c r="AB487">
        <v>1</v>
      </c>
      <c r="AC487">
        <v>22000000</v>
      </c>
    </row>
    <row r="488" spans="1:29" x14ac:dyDescent="0.2">
      <c r="A488">
        <v>7432</v>
      </c>
      <c r="B488" t="s">
        <v>196</v>
      </c>
      <c r="C488">
        <v>22</v>
      </c>
      <c r="D488">
        <v>1865</v>
      </c>
      <c r="E488">
        <v>0</v>
      </c>
      <c r="F488" s="2">
        <f t="shared" si="70"/>
        <v>0</v>
      </c>
      <c r="G488" s="2">
        <v>0.61649998743087053</v>
      </c>
      <c r="H488" s="2">
        <f t="shared" si="71"/>
        <v>2.97506696347337E-2</v>
      </c>
      <c r="I488">
        <v>0</v>
      </c>
      <c r="J488" s="2">
        <f t="shared" si="72"/>
        <v>0</v>
      </c>
      <c r="K488" s="2">
        <v>0.30244680121541018</v>
      </c>
      <c r="L488" s="2">
        <f t="shared" si="73"/>
        <v>1.4595287994309336E-2</v>
      </c>
      <c r="M488">
        <v>6</v>
      </c>
      <c r="N488" s="2">
        <f t="shared" si="74"/>
        <v>0.28954423592493295</v>
      </c>
      <c r="O488">
        <v>9</v>
      </c>
      <c r="P488" s="2">
        <f t="shared" si="75"/>
        <v>0.43431635388739948</v>
      </c>
      <c r="Q488" t="s">
        <v>224</v>
      </c>
      <c r="R488" t="s">
        <v>175</v>
      </c>
      <c r="S488">
        <v>0</v>
      </c>
      <c r="T488" s="2">
        <f t="shared" si="76"/>
        <v>0</v>
      </c>
      <c r="U488" s="2">
        <v>0.61649998743087053</v>
      </c>
      <c r="V488" s="2">
        <f t="shared" si="77"/>
        <v>2.97506696347337E-2</v>
      </c>
      <c r="W488" s="2">
        <v>4.738753279671073</v>
      </c>
      <c r="X488" s="2">
        <f t="shared" si="78"/>
        <v>0.2286797829331885</v>
      </c>
      <c r="Y488" s="2">
        <v>4.3905130904167891</v>
      </c>
      <c r="Z488" s="2">
        <f t="shared" si="79"/>
        <v>0.21187462634719087</v>
      </c>
      <c r="AA488">
        <v>2022</v>
      </c>
      <c r="AB488">
        <v>1</v>
      </c>
      <c r="AC488">
        <v>25000000</v>
      </c>
    </row>
    <row r="489" spans="1:29" x14ac:dyDescent="0.2">
      <c r="A489">
        <v>7723</v>
      </c>
      <c r="B489" t="s">
        <v>197</v>
      </c>
      <c r="C489">
        <v>35</v>
      </c>
      <c r="D489">
        <v>3099</v>
      </c>
      <c r="E489">
        <v>3</v>
      </c>
      <c r="F489" s="2">
        <f t="shared" si="70"/>
        <v>8.7124878993223617E-2</v>
      </c>
      <c r="G489" s="2">
        <v>1.828072330914438</v>
      </c>
      <c r="H489" s="2">
        <f t="shared" si="71"/>
        <v>5.3090193540593557E-2</v>
      </c>
      <c r="I489">
        <v>4</v>
      </c>
      <c r="J489" s="2">
        <f t="shared" si="72"/>
        <v>0.11616650532429816</v>
      </c>
      <c r="K489" s="2">
        <v>5.359244130551815</v>
      </c>
      <c r="L489" s="2">
        <f t="shared" si="73"/>
        <v>0.15564116545649026</v>
      </c>
      <c r="M489">
        <v>43</v>
      </c>
      <c r="N489" s="2">
        <f t="shared" si="74"/>
        <v>1.2487899322362053</v>
      </c>
      <c r="O489">
        <v>53</v>
      </c>
      <c r="P489" s="2">
        <f t="shared" si="75"/>
        <v>1.5392061955469505</v>
      </c>
      <c r="Q489" t="s">
        <v>223</v>
      </c>
      <c r="R489" t="s">
        <v>126</v>
      </c>
      <c r="S489">
        <v>3</v>
      </c>
      <c r="T489" s="2">
        <f t="shared" si="76"/>
        <v>8.7124878993223617E-2</v>
      </c>
      <c r="U489" s="2">
        <v>1.828072330914438</v>
      </c>
      <c r="V489" s="2">
        <f t="shared" si="77"/>
        <v>5.3090193540593557E-2</v>
      </c>
      <c r="W489" s="2">
        <v>12.840360780246559</v>
      </c>
      <c r="X489" s="2">
        <f t="shared" si="78"/>
        <v>0.37290495973610532</v>
      </c>
      <c r="Y489" s="2">
        <v>8.2026943853124976</v>
      </c>
      <c r="Z489" s="2">
        <f t="shared" si="79"/>
        <v>0.23821958524624873</v>
      </c>
      <c r="AA489">
        <v>2021</v>
      </c>
      <c r="AB489">
        <v>0</v>
      </c>
      <c r="AC489">
        <v>32000000</v>
      </c>
    </row>
    <row r="490" spans="1:29" x14ac:dyDescent="0.2">
      <c r="A490">
        <v>7723</v>
      </c>
      <c r="B490" t="s">
        <v>197</v>
      </c>
      <c r="C490">
        <v>34</v>
      </c>
      <c r="D490">
        <v>2692</v>
      </c>
      <c r="E490">
        <v>1</v>
      </c>
      <c r="F490" s="2">
        <f t="shared" si="70"/>
        <v>3.3432392273402674E-2</v>
      </c>
      <c r="G490" s="2">
        <v>1.9473767010495071</v>
      </c>
      <c r="H490" s="2">
        <f t="shared" si="71"/>
        <v>6.5105461773571932E-2</v>
      </c>
      <c r="I490">
        <v>3</v>
      </c>
      <c r="J490" s="2">
        <f t="shared" si="72"/>
        <v>0.10029717682020801</v>
      </c>
      <c r="K490" s="2">
        <v>3.40858530625701</v>
      </c>
      <c r="L490" s="2">
        <f t="shared" si="73"/>
        <v>0.11395716105614075</v>
      </c>
      <c r="M490">
        <v>42</v>
      </c>
      <c r="N490" s="2">
        <f t="shared" si="74"/>
        <v>1.4041604754829122</v>
      </c>
      <c r="O490">
        <v>18</v>
      </c>
      <c r="P490" s="2">
        <f t="shared" si="75"/>
        <v>0.60178306092124811</v>
      </c>
      <c r="Q490" t="s">
        <v>223</v>
      </c>
      <c r="R490" t="s">
        <v>126</v>
      </c>
      <c r="S490">
        <v>1</v>
      </c>
      <c r="T490" s="2">
        <f t="shared" si="76"/>
        <v>3.3432392273402674E-2</v>
      </c>
      <c r="U490" s="2">
        <v>1.9473767010495071</v>
      </c>
      <c r="V490" s="2">
        <f t="shared" si="77"/>
        <v>6.5105461773571932E-2</v>
      </c>
      <c r="W490" s="2">
        <v>10.670297458767889</v>
      </c>
      <c r="X490" s="2">
        <f t="shared" si="78"/>
        <v>0.3567335703154198</v>
      </c>
      <c r="Y490" s="2">
        <v>6.900125402957201</v>
      </c>
      <c r="Z490" s="2">
        <f t="shared" si="79"/>
        <v>0.23068769920733584</v>
      </c>
      <c r="AA490">
        <v>2022</v>
      </c>
      <c r="AB490">
        <v>0</v>
      </c>
      <c r="AC490">
        <v>27000000</v>
      </c>
    </row>
    <row r="491" spans="1:29" x14ac:dyDescent="0.2">
      <c r="A491">
        <v>7723</v>
      </c>
      <c r="B491" t="s">
        <v>197</v>
      </c>
      <c r="C491">
        <v>35</v>
      </c>
      <c r="D491">
        <v>3053</v>
      </c>
      <c r="E491">
        <v>6</v>
      </c>
      <c r="F491" s="2">
        <f t="shared" si="70"/>
        <v>0.17687520471667212</v>
      </c>
      <c r="G491" s="2">
        <v>4.6722836941480637</v>
      </c>
      <c r="H491" s="2">
        <f t="shared" si="71"/>
        <v>0.13773518914946797</v>
      </c>
      <c r="I491">
        <v>4</v>
      </c>
      <c r="J491" s="2">
        <f t="shared" si="72"/>
        <v>0.11791680314444808</v>
      </c>
      <c r="K491" s="2">
        <v>5.6268473938107491</v>
      </c>
      <c r="L491" s="2">
        <f t="shared" si="73"/>
        <v>0.16587496411495822</v>
      </c>
      <c r="M491">
        <v>40</v>
      </c>
      <c r="N491" s="2">
        <f t="shared" si="74"/>
        <v>1.179168031444481</v>
      </c>
      <c r="O491">
        <v>45</v>
      </c>
      <c r="P491" s="2">
        <f t="shared" si="75"/>
        <v>1.326564035375041</v>
      </c>
      <c r="Q491" t="s">
        <v>223</v>
      </c>
      <c r="R491" t="s">
        <v>126</v>
      </c>
      <c r="S491">
        <v>6</v>
      </c>
      <c r="T491" s="2">
        <f t="shared" si="76"/>
        <v>0.17687520471667212</v>
      </c>
      <c r="U491" s="2">
        <v>4.6722836941480637</v>
      </c>
      <c r="V491" s="2">
        <f t="shared" si="77"/>
        <v>0.13773518914946797</v>
      </c>
      <c r="W491" s="2">
        <v>20.78067667782307</v>
      </c>
      <c r="X491" s="2">
        <f t="shared" si="78"/>
        <v>0.61259774025682157</v>
      </c>
      <c r="Y491" s="2">
        <v>13.84514186903834</v>
      </c>
      <c r="Z491" s="2">
        <f t="shared" si="79"/>
        <v>0.40814371706958752</v>
      </c>
      <c r="AA491">
        <v>2023</v>
      </c>
      <c r="AB491">
        <v>1</v>
      </c>
      <c r="AC491">
        <v>30000000</v>
      </c>
    </row>
    <row r="492" spans="1:29" x14ac:dyDescent="0.2">
      <c r="A492">
        <v>7723</v>
      </c>
      <c r="B492" t="s">
        <v>197</v>
      </c>
      <c r="C492">
        <v>34</v>
      </c>
      <c r="D492">
        <v>2247</v>
      </c>
      <c r="E492">
        <v>1</v>
      </c>
      <c r="F492" s="2">
        <f t="shared" si="70"/>
        <v>4.0053404539385849E-2</v>
      </c>
      <c r="G492" s="2">
        <v>3.794223135337234</v>
      </c>
      <c r="H492" s="2">
        <f t="shared" si="71"/>
        <v>0.15197155415235916</v>
      </c>
      <c r="I492">
        <v>4</v>
      </c>
      <c r="J492" s="2">
        <f t="shared" si="72"/>
        <v>0.1602136181575434</v>
      </c>
      <c r="K492" s="2">
        <v>3.4790949057787661</v>
      </c>
      <c r="L492" s="2">
        <f t="shared" si="73"/>
        <v>0.13934959569207342</v>
      </c>
      <c r="M492">
        <v>31</v>
      </c>
      <c r="N492" s="2">
        <f t="shared" si="74"/>
        <v>1.2416555407209613</v>
      </c>
      <c r="O492">
        <v>30</v>
      </c>
      <c r="P492" s="2">
        <f t="shared" si="75"/>
        <v>1.2016021361815754</v>
      </c>
      <c r="Q492" t="s">
        <v>223</v>
      </c>
      <c r="R492" t="s">
        <v>126</v>
      </c>
      <c r="S492">
        <v>1</v>
      </c>
      <c r="T492" s="2">
        <f t="shared" si="76"/>
        <v>4.0053404539385849E-2</v>
      </c>
      <c r="U492" s="2">
        <v>3.794223135337234</v>
      </c>
      <c r="V492" s="2">
        <f t="shared" si="77"/>
        <v>0.15197155415235916</v>
      </c>
      <c r="W492" s="2">
        <v>11.84259372018278</v>
      </c>
      <c r="X492" s="2">
        <f t="shared" si="78"/>
        <v>0.47433619707007135</v>
      </c>
      <c r="Y492" s="2">
        <v>7.2529990095645189</v>
      </c>
      <c r="Z492" s="2">
        <f t="shared" si="79"/>
        <v>0.29050730345385256</v>
      </c>
      <c r="AA492">
        <v>2024</v>
      </c>
      <c r="AB492">
        <v>1</v>
      </c>
      <c r="AC492">
        <v>16000000</v>
      </c>
    </row>
    <row r="493" spans="1:29" x14ac:dyDescent="0.2">
      <c r="A493">
        <v>7726</v>
      </c>
      <c r="B493" t="s">
        <v>198</v>
      </c>
      <c r="C493">
        <v>29</v>
      </c>
      <c r="D493">
        <v>2494</v>
      </c>
      <c r="E493">
        <v>2</v>
      </c>
      <c r="F493" s="2">
        <f t="shared" si="70"/>
        <v>7.2173215717722533E-2</v>
      </c>
      <c r="G493" s="2">
        <v>1.2069020578637719</v>
      </c>
      <c r="H493" s="2">
        <f t="shared" si="71"/>
        <v>4.3553001286182627E-2</v>
      </c>
      <c r="I493">
        <v>0</v>
      </c>
      <c r="J493" s="2">
        <f t="shared" si="72"/>
        <v>0</v>
      </c>
      <c r="K493" s="2">
        <v>0.27069990523159498</v>
      </c>
      <c r="L493" s="2">
        <f t="shared" si="73"/>
        <v>9.7686413275234769E-3</v>
      </c>
      <c r="M493">
        <v>14</v>
      </c>
      <c r="N493" s="2">
        <f t="shared" si="74"/>
        <v>0.50521251002405776</v>
      </c>
      <c r="O493">
        <v>4</v>
      </c>
      <c r="P493" s="2">
        <f t="shared" si="75"/>
        <v>0.14434643143544507</v>
      </c>
      <c r="Q493" t="s">
        <v>224</v>
      </c>
      <c r="R493" t="s">
        <v>126</v>
      </c>
      <c r="S493">
        <v>2</v>
      </c>
      <c r="T493" s="2">
        <f t="shared" si="76"/>
        <v>7.2173215717722533E-2</v>
      </c>
      <c r="U493" s="2">
        <v>1.2069020578637719</v>
      </c>
      <c r="V493" s="2">
        <f t="shared" si="77"/>
        <v>4.3553001286182627E-2</v>
      </c>
      <c r="W493" s="2">
        <v>4.5427961926907301</v>
      </c>
      <c r="X493" s="2">
        <f t="shared" si="78"/>
        <v>0.16393410478835835</v>
      </c>
      <c r="Y493" s="2">
        <v>4.2916042990982533</v>
      </c>
      <c r="Z493" s="2">
        <f t="shared" si="79"/>
        <v>0.15486944142696182</v>
      </c>
      <c r="AA493">
        <v>2021</v>
      </c>
      <c r="AB493">
        <v>0</v>
      </c>
      <c r="AC493">
        <v>22000000</v>
      </c>
    </row>
    <row r="494" spans="1:29" x14ac:dyDescent="0.2">
      <c r="A494">
        <v>7726</v>
      </c>
      <c r="B494" t="s">
        <v>198</v>
      </c>
      <c r="C494">
        <v>38</v>
      </c>
      <c r="D494">
        <v>3325</v>
      </c>
      <c r="E494">
        <v>0</v>
      </c>
      <c r="F494" s="2">
        <f t="shared" si="70"/>
        <v>0</v>
      </c>
      <c r="G494" s="2">
        <v>0.80610139854252338</v>
      </c>
      <c r="H494" s="2">
        <f t="shared" si="71"/>
        <v>2.1819285975587101E-2</v>
      </c>
      <c r="I494">
        <v>0</v>
      </c>
      <c r="J494" s="2">
        <f t="shared" si="72"/>
        <v>0</v>
      </c>
      <c r="K494" s="2">
        <v>1.451304289512336</v>
      </c>
      <c r="L494" s="2">
        <f t="shared" si="73"/>
        <v>3.9283424377777515E-2</v>
      </c>
      <c r="M494">
        <v>8</v>
      </c>
      <c r="N494" s="2">
        <f t="shared" si="74"/>
        <v>0.21654135338345865</v>
      </c>
      <c r="O494">
        <v>8</v>
      </c>
      <c r="P494" s="2">
        <f t="shared" si="75"/>
        <v>0.21654135338345865</v>
      </c>
      <c r="Q494" t="s">
        <v>224</v>
      </c>
      <c r="R494" t="s">
        <v>126</v>
      </c>
      <c r="S494">
        <v>0</v>
      </c>
      <c r="T494" s="2">
        <f t="shared" si="76"/>
        <v>0</v>
      </c>
      <c r="U494" s="2">
        <v>0.80610139854252338</v>
      </c>
      <c r="V494" s="2">
        <f t="shared" si="77"/>
        <v>2.1819285975587101E-2</v>
      </c>
      <c r="W494" s="2">
        <v>10.92092332523316</v>
      </c>
      <c r="X494" s="2">
        <f t="shared" si="78"/>
        <v>0.29560393963037124</v>
      </c>
      <c r="Y494" s="2">
        <v>10.346458929590881</v>
      </c>
      <c r="Z494" s="2">
        <f t="shared" si="79"/>
        <v>0.28005452741749753</v>
      </c>
      <c r="AA494">
        <v>2022</v>
      </c>
      <c r="AB494">
        <v>0</v>
      </c>
      <c r="AC494">
        <v>25000000</v>
      </c>
    </row>
    <row r="495" spans="1:29" x14ac:dyDescent="0.2">
      <c r="A495">
        <v>7726</v>
      </c>
      <c r="B495" t="s">
        <v>198</v>
      </c>
      <c r="C495">
        <v>35</v>
      </c>
      <c r="D495">
        <v>3090</v>
      </c>
      <c r="E495">
        <v>1</v>
      </c>
      <c r="F495" s="2">
        <f t="shared" si="70"/>
        <v>2.9126213592233011E-2</v>
      </c>
      <c r="G495" s="2">
        <v>2.328450752422214</v>
      </c>
      <c r="H495" s="2">
        <f t="shared" si="71"/>
        <v>6.7818953954045066E-2</v>
      </c>
      <c r="I495">
        <v>0</v>
      </c>
      <c r="J495" s="2">
        <f t="shared" si="72"/>
        <v>0</v>
      </c>
      <c r="K495" s="2">
        <v>0.6873185783624649</v>
      </c>
      <c r="L495" s="2">
        <f t="shared" si="73"/>
        <v>2.0018987719295094E-2</v>
      </c>
      <c r="M495">
        <v>19</v>
      </c>
      <c r="N495" s="2">
        <f t="shared" si="74"/>
        <v>0.55339805825242716</v>
      </c>
      <c r="O495">
        <v>8</v>
      </c>
      <c r="P495" s="2">
        <f t="shared" si="75"/>
        <v>0.23300970873786409</v>
      </c>
      <c r="Q495" t="s">
        <v>224</v>
      </c>
      <c r="R495" t="s">
        <v>126</v>
      </c>
      <c r="S495">
        <v>1</v>
      </c>
      <c r="T495" s="2">
        <f t="shared" si="76"/>
        <v>2.9126213592233011E-2</v>
      </c>
      <c r="U495" s="2">
        <v>2.328450752422214</v>
      </c>
      <c r="V495" s="2">
        <f t="shared" si="77"/>
        <v>6.7818953954045066E-2</v>
      </c>
      <c r="W495" s="2">
        <v>14.659921541810039</v>
      </c>
      <c r="X495" s="2">
        <f t="shared" si="78"/>
        <v>0.42698800607213705</v>
      </c>
      <c r="Y495" s="2">
        <v>13.56262277811766</v>
      </c>
      <c r="Z495" s="2">
        <f t="shared" si="79"/>
        <v>0.3950278479063396</v>
      </c>
      <c r="AA495">
        <v>2023</v>
      </c>
      <c r="AB495">
        <v>1</v>
      </c>
      <c r="AC495">
        <v>35000000</v>
      </c>
    </row>
    <row r="496" spans="1:29" x14ac:dyDescent="0.2">
      <c r="A496">
        <v>7726</v>
      </c>
      <c r="B496" t="s">
        <v>198</v>
      </c>
      <c r="C496">
        <v>34</v>
      </c>
      <c r="D496">
        <v>2934</v>
      </c>
      <c r="E496">
        <v>2</v>
      </c>
      <c r="F496" s="2">
        <f t="shared" si="70"/>
        <v>6.1349693251533742E-2</v>
      </c>
      <c r="G496" s="2">
        <v>1.1034716404974461</v>
      </c>
      <c r="H496" s="2">
        <f t="shared" si="71"/>
        <v>3.384882332814252E-2</v>
      </c>
      <c r="I496">
        <v>0</v>
      </c>
      <c r="J496" s="2">
        <f t="shared" si="72"/>
        <v>0</v>
      </c>
      <c r="K496" s="2">
        <v>0.41072478517889982</v>
      </c>
      <c r="L496" s="2">
        <f t="shared" si="73"/>
        <v>1.2598919790763798E-2</v>
      </c>
      <c r="M496">
        <v>11</v>
      </c>
      <c r="N496" s="2">
        <f t="shared" si="74"/>
        <v>0.33742331288343558</v>
      </c>
      <c r="O496">
        <v>6</v>
      </c>
      <c r="P496" s="2">
        <f t="shared" si="75"/>
        <v>0.18404907975460125</v>
      </c>
      <c r="Q496" t="s">
        <v>224</v>
      </c>
      <c r="R496" t="s">
        <v>126</v>
      </c>
      <c r="S496">
        <v>2</v>
      </c>
      <c r="T496" s="2">
        <f t="shared" si="76"/>
        <v>6.1349693251533742E-2</v>
      </c>
      <c r="U496" s="2">
        <v>1.1034716404974461</v>
      </c>
      <c r="V496" s="2">
        <f t="shared" si="77"/>
        <v>3.384882332814252E-2</v>
      </c>
      <c r="W496" s="2">
        <v>9.736158462241292</v>
      </c>
      <c r="X496" s="2">
        <f t="shared" si="78"/>
        <v>0.29865516755341387</v>
      </c>
      <c r="Y496" s="2">
        <v>9.2160165626555681</v>
      </c>
      <c r="Z496" s="2">
        <f t="shared" si="79"/>
        <v>0.28269989455998673</v>
      </c>
      <c r="AA496">
        <v>2024</v>
      </c>
      <c r="AB496">
        <v>1</v>
      </c>
      <c r="AC496">
        <v>35000000</v>
      </c>
    </row>
    <row r="497" spans="1:29" x14ac:dyDescent="0.2">
      <c r="A497">
        <v>7810</v>
      </c>
      <c r="B497" t="s">
        <v>199</v>
      </c>
      <c r="C497">
        <v>33</v>
      </c>
      <c r="D497">
        <v>2549</v>
      </c>
      <c r="E497">
        <v>6</v>
      </c>
      <c r="F497" s="2">
        <f t="shared" si="70"/>
        <v>0.21184778344448804</v>
      </c>
      <c r="G497" s="2">
        <v>6.7616592068225154</v>
      </c>
      <c r="H497" s="2">
        <f t="shared" si="71"/>
        <v>0.23874041922872749</v>
      </c>
      <c r="I497">
        <v>1</v>
      </c>
      <c r="J497" s="2">
        <f t="shared" si="72"/>
        <v>3.5307963907414669E-2</v>
      </c>
      <c r="K497" s="2">
        <v>3.849915100261569</v>
      </c>
      <c r="L497" s="2">
        <f t="shared" si="73"/>
        <v>0.1359326634066462</v>
      </c>
      <c r="M497">
        <v>60</v>
      </c>
      <c r="N497" s="2">
        <f t="shared" si="74"/>
        <v>2.1184778344448802</v>
      </c>
      <c r="O497">
        <v>23</v>
      </c>
      <c r="P497" s="2">
        <f t="shared" si="75"/>
        <v>0.81208316987053752</v>
      </c>
      <c r="Q497" t="s">
        <v>223</v>
      </c>
      <c r="R497" t="s">
        <v>23</v>
      </c>
      <c r="S497">
        <v>6</v>
      </c>
      <c r="T497" s="2">
        <f t="shared" si="76"/>
        <v>0.21184778344448804</v>
      </c>
      <c r="U497" s="2">
        <v>6.7616592068225154</v>
      </c>
      <c r="V497" s="2">
        <f t="shared" si="77"/>
        <v>0.23874041922872749</v>
      </c>
      <c r="W497" s="2">
        <v>13.098144063726069</v>
      </c>
      <c r="X497" s="2">
        <f t="shared" si="78"/>
        <v>0.46246879785615785</v>
      </c>
      <c r="Y497" s="2">
        <v>4.6656709983944893</v>
      </c>
      <c r="Z497" s="2">
        <f t="shared" si="79"/>
        <v>0.16473534321518402</v>
      </c>
      <c r="AA497">
        <v>2019</v>
      </c>
      <c r="AB497">
        <v>0</v>
      </c>
      <c r="AC497">
        <v>9000000</v>
      </c>
    </row>
    <row r="498" spans="1:29" x14ac:dyDescent="0.2">
      <c r="A498">
        <v>7810</v>
      </c>
      <c r="B498" t="s">
        <v>199</v>
      </c>
      <c r="C498">
        <v>30</v>
      </c>
      <c r="D498">
        <v>1613</v>
      </c>
      <c r="E498">
        <v>6</v>
      </c>
      <c r="F498" s="2">
        <f t="shared" si="70"/>
        <v>0.33477991320520767</v>
      </c>
      <c r="G498" s="2">
        <v>3.8860089862719178</v>
      </c>
      <c r="H498" s="2">
        <f t="shared" si="71"/>
        <v>0.2168262918564616</v>
      </c>
      <c r="I498">
        <v>3</v>
      </c>
      <c r="J498" s="2">
        <f t="shared" si="72"/>
        <v>0.16738995660260383</v>
      </c>
      <c r="K498" s="2">
        <v>2.915233713574708</v>
      </c>
      <c r="L498" s="2">
        <f t="shared" si="73"/>
        <v>0.16266028160057266</v>
      </c>
      <c r="M498">
        <v>38</v>
      </c>
      <c r="N498" s="2">
        <f t="shared" si="74"/>
        <v>2.120272783632982</v>
      </c>
      <c r="O498">
        <v>25</v>
      </c>
      <c r="P498" s="2">
        <f t="shared" si="75"/>
        <v>1.3949163050216986</v>
      </c>
      <c r="Q498" t="s">
        <v>223</v>
      </c>
      <c r="R498" t="s">
        <v>23</v>
      </c>
      <c r="S498">
        <v>6</v>
      </c>
      <c r="T498" s="2">
        <f t="shared" si="76"/>
        <v>0.33477991320520767</v>
      </c>
      <c r="U498" s="2">
        <v>3.8860089862719178</v>
      </c>
      <c r="V498" s="2">
        <f t="shared" si="77"/>
        <v>0.2168262918564616</v>
      </c>
      <c r="W498" s="2">
        <v>7.0517004821449518</v>
      </c>
      <c r="X498" s="2">
        <f t="shared" si="78"/>
        <v>0.39346127922693463</v>
      </c>
      <c r="Y498" s="2">
        <v>1.2811016603372991</v>
      </c>
      <c r="Z498" s="2">
        <f t="shared" si="79"/>
        <v>7.1481183775794738E-2</v>
      </c>
      <c r="AA498">
        <v>2020</v>
      </c>
      <c r="AB498">
        <v>0</v>
      </c>
      <c r="AC498">
        <v>13000000</v>
      </c>
    </row>
    <row r="499" spans="1:29" x14ac:dyDescent="0.2">
      <c r="A499">
        <v>7810</v>
      </c>
      <c r="B499" t="s">
        <v>199</v>
      </c>
      <c r="C499">
        <v>29</v>
      </c>
      <c r="D499">
        <v>2030</v>
      </c>
      <c r="E499">
        <v>1</v>
      </c>
      <c r="F499" s="2">
        <f t="shared" si="70"/>
        <v>4.4334975369458123E-2</v>
      </c>
      <c r="G499" s="2">
        <v>3.5599733674898739</v>
      </c>
      <c r="H499" s="2">
        <f t="shared" si="71"/>
        <v>0.15783133156359047</v>
      </c>
      <c r="I499">
        <v>3</v>
      </c>
      <c r="J499" s="2">
        <f t="shared" si="72"/>
        <v>0.13300492610837439</v>
      </c>
      <c r="K499" s="2">
        <v>2.8213481027632952</v>
      </c>
      <c r="L499" s="2">
        <f t="shared" si="73"/>
        <v>0.1250843986446781</v>
      </c>
      <c r="M499">
        <v>40</v>
      </c>
      <c r="N499" s="2">
        <f t="shared" si="74"/>
        <v>1.7733990147783252</v>
      </c>
      <c r="O499">
        <v>23</v>
      </c>
      <c r="P499" s="2">
        <f t="shared" si="75"/>
        <v>1.0197044334975369</v>
      </c>
      <c r="Q499" t="s">
        <v>223</v>
      </c>
      <c r="R499" t="s">
        <v>23</v>
      </c>
      <c r="S499">
        <v>1</v>
      </c>
      <c r="T499" s="2">
        <f t="shared" si="76"/>
        <v>4.4334975369458123E-2</v>
      </c>
      <c r="U499" s="2">
        <v>3.5599733674898739</v>
      </c>
      <c r="V499" s="2">
        <f t="shared" si="77"/>
        <v>0.15783133156359047</v>
      </c>
      <c r="W499" s="2">
        <v>7.1943995766341686</v>
      </c>
      <c r="X499" s="2">
        <f t="shared" si="78"/>
        <v>0.31896352802811584</v>
      </c>
      <c r="Y499" s="2">
        <v>2.3674070760607719</v>
      </c>
      <c r="Z499" s="2">
        <f t="shared" si="79"/>
        <v>0.10495893440663522</v>
      </c>
      <c r="AA499">
        <v>2021</v>
      </c>
      <c r="AB499">
        <v>1</v>
      </c>
      <c r="AC499">
        <v>8000000</v>
      </c>
    </row>
    <row r="500" spans="1:29" x14ac:dyDescent="0.2">
      <c r="A500">
        <v>7810</v>
      </c>
      <c r="B500" t="s">
        <v>199</v>
      </c>
      <c r="C500">
        <v>23</v>
      </c>
      <c r="D500">
        <v>1146</v>
      </c>
      <c r="E500">
        <v>3</v>
      </c>
      <c r="F500" s="2">
        <f t="shared" si="70"/>
        <v>0.23560209424083772</v>
      </c>
      <c r="G500" s="2">
        <v>0.89624127931892872</v>
      </c>
      <c r="H500" s="2">
        <f t="shared" si="71"/>
        <v>7.0385440784209052E-2</v>
      </c>
      <c r="I500">
        <v>4</v>
      </c>
      <c r="J500" s="2">
        <f t="shared" si="72"/>
        <v>0.31413612565445026</v>
      </c>
      <c r="K500" s="2">
        <v>2.124386888928711</v>
      </c>
      <c r="L500" s="2">
        <f t="shared" si="73"/>
        <v>0.16683666666979405</v>
      </c>
      <c r="M500">
        <v>21</v>
      </c>
      <c r="N500" s="2">
        <f t="shared" si="74"/>
        <v>1.6492146596858637</v>
      </c>
      <c r="O500">
        <v>16</v>
      </c>
      <c r="P500" s="2">
        <f t="shared" si="75"/>
        <v>1.256544502617801</v>
      </c>
      <c r="Q500" t="s">
        <v>223</v>
      </c>
      <c r="R500" t="s">
        <v>23</v>
      </c>
      <c r="S500">
        <v>3</v>
      </c>
      <c r="T500" s="2">
        <f t="shared" si="76"/>
        <v>0.23560209424083772</v>
      </c>
      <c r="U500" s="2">
        <v>0.89624127931892872</v>
      </c>
      <c r="V500" s="2">
        <f t="shared" si="77"/>
        <v>7.0385440784209052E-2</v>
      </c>
      <c r="W500" s="2">
        <v>2.885655402205884</v>
      </c>
      <c r="X500" s="2">
        <f t="shared" si="78"/>
        <v>0.22662215200569769</v>
      </c>
      <c r="Y500" s="2">
        <v>0.82465615030378103</v>
      </c>
      <c r="Z500" s="2">
        <f t="shared" si="79"/>
        <v>6.476357201338595E-2</v>
      </c>
      <c r="AA500">
        <v>2022</v>
      </c>
      <c r="AB500">
        <v>1</v>
      </c>
      <c r="AC500">
        <v>6500000</v>
      </c>
    </row>
    <row r="501" spans="1:29" x14ac:dyDescent="0.2">
      <c r="A501">
        <v>7814</v>
      </c>
      <c r="B501" t="s">
        <v>200</v>
      </c>
      <c r="C501">
        <v>21</v>
      </c>
      <c r="D501">
        <v>1376</v>
      </c>
      <c r="E501">
        <v>5</v>
      </c>
      <c r="F501" s="2">
        <f t="shared" si="70"/>
        <v>0.3270348837209302</v>
      </c>
      <c r="G501" s="2">
        <v>6.5144720822572708</v>
      </c>
      <c r="H501" s="2">
        <f t="shared" si="71"/>
        <v>0.42609192398485057</v>
      </c>
      <c r="I501">
        <v>2</v>
      </c>
      <c r="J501" s="2">
        <f t="shared" si="72"/>
        <v>0.1308139534883721</v>
      </c>
      <c r="K501" s="2">
        <v>1.2689972091466191</v>
      </c>
      <c r="L501" s="2">
        <f t="shared" si="73"/>
        <v>8.3001270947089908E-2</v>
      </c>
      <c r="M501">
        <v>29</v>
      </c>
      <c r="N501" s="2">
        <f t="shared" si="74"/>
        <v>1.8968023255813953</v>
      </c>
      <c r="O501">
        <v>20</v>
      </c>
      <c r="P501" s="2">
        <f t="shared" si="75"/>
        <v>1.3081395348837208</v>
      </c>
      <c r="Q501" t="s">
        <v>222</v>
      </c>
      <c r="R501" t="s">
        <v>201</v>
      </c>
      <c r="S501">
        <v>5</v>
      </c>
      <c r="T501" s="2">
        <f t="shared" si="76"/>
        <v>0.3270348837209302</v>
      </c>
      <c r="U501" s="2">
        <v>6.5144720822572708</v>
      </c>
      <c r="V501" s="2">
        <f t="shared" si="77"/>
        <v>0.42609192398485057</v>
      </c>
      <c r="W501" s="2">
        <v>7.9228654373437166</v>
      </c>
      <c r="X501" s="2">
        <f t="shared" si="78"/>
        <v>0.51821067540765586</v>
      </c>
      <c r="Y501" s="2">
        <v>1.5481495875865221</v>
      </c>
      <c r="Z501" s="2">
        <f t="shared" si="79"/>
        <v>0.10125978407179285</v>
      </c>
      <c r="AA501">
        <v>2020</v>
      </c>
      <c r="AB501">
        <v>0</v>
      </c>
      <c r="AC501">
        <v>5000000</v>
      </c>
    </row>
    <row r="502" spans="1:29" x14ac:dyDescent="0.2">
      <c r="A502">
        <v>7814</v>
      </c>
      <c r="B502" t="s">
        <v>200</v>
      </c>
      <c r="C502">
        <v>31</v>
      </c>
      <c r="D502">
        <v>2227</v>
      </c>
      <c r="E502">
        <v>15</v>
      </c>
      <c r="F502" s="2">
        <f t="shared" si="70"/>
        <v>0.60619667714414005</v>
      </c>
      <c r="G502" s="2">
        <v>14.85024681314826</v>
      </c>
      <c r="H502" s="2">
        <f t="shared" si="71"/>
        <v>0.60014468486005546</v>
      </c>
      <c r="I502">
        <v>1</v>
      </c>
      <c r="J502" s="2">
        <f t="shared" si="72"/>
        <v>4.0413111809609339E-2</v>
      </c>
      <c r="K502" s="2">
        <v>2.3190560005605221</v>
      </c>
      <c r="L502" s="2">
        <f t="shared" si="73"/>
        <v>9.3720269443397855E-2</v>
      </c>
      <c r="M502">
        <v>67</v>
      </c>
      <c r="N502" s="2">
        <f t="shared" si="74"/>
        <v>2.7076784912438256</v>
      </c>
      <c r="O502">
        <v>27</v>
      </c>
      <c r="P502" s="2">
        <f t="shared" si="75"/>
        <v>1.0911540188594522</v>
      </c>
      <c r="Q502" t="s">
        <v>222</v>
      </c>
      <c r="R502" t="s">
        <v>201</v>
      </c>
      <c r="S502">
        <v>13</v>
      </c>
      <c r="T502" s="2">
        <f t="shared" si="76"/>
        <v>0.5253704535249214</v>
      </c>
      <c r="U502" s="2">
        <v>13.33468988165259</v>
      </c>
      <c r="V502" s="2">
        <f t="shared" si="77"/>
        <v>0.53889631313369246</v>
      </c>
      <c r="W502" s="2">
        <v>17.147334314882759</v>
      </c>
      <c r="X502" s="2">
        <f t="shared" si="78"/>
        <v>0.69297713890410795</v>
      </c>
      <c r="Y502" s="2">
        <v>4.1540743056684732</v>
      </c>
      <c r="Z502" s="2">
        <f t="shared" si="79"/>
        <v>0.16787906938040531</v>
      </c>
      <c r="AA502">
        <v>2021</v>
      </c>
      <c r="AB502">
        <v>0</v>
      </c>
      <c r="AC502">
        <v>20000000</v>
      </c>
    </row>
    <row r="503" spans="1:29" x14ac:dyDescent="0.2">
      <c r="A503">
        <v>7814</v>
      </c>
      <c r="B503" t="s">
        <v>200</v>
      </c>
      <c r="C503">
        <v>27</v>
      </c>
      <c r="D503">
        <v>1426</v>
      </c>
      <c r="E503">
        <v>10</v>
      </c>
      <c r="F503" s="2">
        <f t="shared" si="70"/>
        <v>0.63113604488078545</v>
      </c>
      <c r="G503" s="2">
        <v>8.0510318800806999</v>
      </c>
      <c r="H503" s="2">
        <f t="shared" si="71"/>
        <v>0.50812964180032472</v>
      </c>
      <c r="I503">
        <v>1</v>
      </c>
      <c r="J503" s="2">
        <f t="shared" si="72"/>
        <v>6.311360448807854E-2</v>
      </c>
      <c r="K503" s="2">
        <v>1.0280227512121201</v>
      </c>
      <c r="L503" s="2">
        <f t="shared" si="73"/>
        <v>6.4882221324748107E-2</v>
      </c>
      <c r="M503">
        <v>35</v>
      </c>
      <c r="N503" s="2">
        <f t="shared" si="74"/>
        <v>2.2089761570827489</v>
      </c>
      <c r="O503">
        <v>10</v>
      </c>
      <c r="P503" s="2">
        <f t="shared" si="75"/>
        <v>0.63113604488078545</v>
      </c>
      <c r="Q503" t="s">
        <v>222</v>
      </c>
      <c r="R503" t="s">
        <v>151</v>
      </c>
      <c r="S503">
        <v>10</v>
      </c>
      <c r="T503" s="2">
        <f t="shared" si="76"/>
        <v>0.63113604488078545</v>
      </c>
      <c r="U503" s="2">
        <v>8.0510318800806999</v>
      </c>
      <c r="V503" s="2">
        <f t="shared" si="77"/>
        <v>0.50812964180032472</v>
      </c>
      <c r="W503" s="2">
        <v>7.681166335940361</v>
      </c>
      <c r="X503" s="2">
        <f t="shared" si="78"/>
        <v>0.4847860941336834</v>
      </c>
      <c r="Y503" s="2">
        <v>0.7168999258428812</v>
      </c>
      <c r="Z503" s="2">
        <f t="shared" si="79"/>
        <v>4.5246138377180438E-2</v>
      </c>
      <c r="AA503">
        <v>2022</v>
      </c>
      <c r="AB503">
        <v>1</v>
      </c>
      <c r="AC503">
        <v>25000000</v>
      </c>
    </row>
    <row r="504" spans="1:29" x14ac:dyDescent="0.2">
      <c r="A504">
        <v>7814</v>
      </c>
      <c r="B504" t="s">
        <v>200</v>
      </c>
      <c r="C504">
        <v>20</v>
      </c>
      <c r="D504">
        <v>1066</v>
      </c>
      <c r="E504">
        <v>6</v>
      </c>
      <c r="F504" s="2">
        <f t="shared" si="70"/>
        <v>0.5065666041275797</v>
      </c>
      <c r="G504" s="2">
        <v>5.0608707405626774</v>
      </c>
      <c r="H504" s="2">
        <f t="shared" si="71"/>
        <v>0.42727801749591088</v>
      </c>
      <c r="I504">
        <v>3</v>
      </c>
      <c r="J504" s="2">
        <f t="shared" si="72"/>
        <v>0.25328330206378985</v>
      </c>
      <c r="K504" s="2">
        <v>1.629434499889612</v>
      </c>
      <c r="L504" s="2">
        <f t="shared" si="73"/>
        <v>0.13756951687623364</v>
      </c>
      <c r="M504">
        <v>22</v>
      </c>
      <c r="N504" s="2">
        <f t="shared" si="74"/>
        <v>1.8574108818011257</v>
      </c>
      <c r="O504">
        <v>10</v>
      </c>
      <c r="P504" s="2">
        <f t="shared" si="75"/>
        <v>0.84427767354596628</v>
      </c>
      <c r="Q504" t="s">
        <v>222</v>
      </c>
      <c r="R504" t="s">
        <v>151</v>
      </c>
      <c r="S504">
        <v>6</v>
      </c>
      <c r="T504" s="2">
        <f t="shared" si="76"/>
        <v>0.5065666041275797</v>
      </c>
      <c r="U504" s="2">
        <v>5.0608707405626774</v>
      </c>
      <c r="V504" s="2">
        <f t="shared" si="77"/>
        <v>0.42727801749591088</v>
      </c>
      <c r="W504" s="2">
        <v>6.0606884583830833</v>
      </c>
      <c r="X504" s="2">
        <f t="shared" si="78"/>
        <v>0.51169039517305581</v>
      </c>
      <c r="Y504" s="2">
        <v>1.5500111253932121</v>
      </c>
      <c r="Z504" s="2">
        <f t="shared" si="79"/>
        <v>0.13086397869173461</v>
      </c>
      <c r="AA504">
        <v>2023</v>
      </c>
      <c r="AB504">
        <v>1</v>
      </c>
      <c r="AC504">
        <v>28000000</v>
      </c>
    </row>
    <row r="505" spans="1:29" x14ac:dyDescent="0.2">
      <c r="A505">
        <v>7888</v>
      </c>
      <c r="B505" t="s">
        <v>202</v>
      </c>
      <c r="C505">
        <v>24</v>
      </c>
      <c r="D505">
        <v>1173</v>
      </c>
      <c r="E505">
        <v>0</v>
      </c>
      <c r="F505" s="2">
        <f t="shared" si="70"/>
        <v>0</v>
      </c>
      <c r="G505" s="2">
        <v>0.27865350618958468</v>
      </c>
      <c r="H505" s="2">
        <f t="shared" si="71"/>
        <v>2.1380064413523119E-2</v>
      </c>
      <c r="I505">
        <v>0</v>
      </c>
      <c r="J505" s="2">
        <f t="shared" si="72"/>
        <v>0</v>
      </c>
      <c r="K505" s="2">
        <v>0.12759119644761091</v>
      </c>
      <c r="L505" s="2">
        <f t="shared" si="73"/>
        <v>9.7896058655455934E-3</v>
      </c>
      <c r="M505">
        <v>7</v>
      </c>
      <c r="N505" s="2">
        <f t="shared" si="74"/>
        <v>0.53708439897698212</v>
      </c>
      <c r="O505">
        <v>2</v>
      </c>
      <c r="P505" s="2">
        <f t="shared" si="75"/>
        <v>0.15345268542199489</v>
      </c>
      <c r="Q505" t="s">
        <v>223</v>
      </c>
      <c r="R505" t="s">
        <v>74</v>
      </c>
      <c r="S505">
        <v>0</v>
      </c>
      <c r="T505" s="2">
        <f t="shared" si="76"/>
        <v>0</v>
      </c>
      <c r="U505" s="2">
        <v>0.27865350618958468</v>
      </c>
      <c r="V505" s="2">
        <f t="shared" si="77"/>
        <v>2.1380064413523119E-2</v>
      </c>
      <c r="W505" s="2">
        <v>2.901540014892817</v>
      </c>
      <c r="X505" s="2">
        <f t="shared" si="78"/>
        <v>0.2226245535723389</v>
      </c>
      <c r="Y505" s="2">
        <v>2.589973222464323</v>
      </c>
      <c r="Z505" s="2">
        <f t="shared" si="79"/>
        <v>0.19871917307910406</v>
      </c>
      <c r="AA505">
        <v>2019</v>
      </c>
      <c r="AB505">
        <v>0</v>
      </c>
      <c r="AC505">
        <v>5500000</v>
      </c>
    </row>
    <row r="506" spans="1:29" x14ac:dyDescent="0.2">
      <c r="A506">
        <v>7888</v>
      </c>
      <c r="B506" t="s">
        <v>202</v>
      </c>
      <c r="C506">
        <v>30</v>
      </c>
      <c r="D506">
        <v>1006</v>
      </c>
      <c r="E506">
        <v>0</v>
      </c>
      <c r="F506" s="2">
        <f t="shared" si="70"/>
        <v>0</v>
      </c>
      <c r="G506" s="2">
        <v>0.27340569905936718</v>
      </c>
      <c r="H506" s="2">
        <f t="shared" si="71"/>
        <v>2.4459754389008992E-2</v>
      </c>
      <c r="I506">
        <v>0</v>
      </c>
      <c r="J506" s="2">
        <f t="shared" si="72"/>
        <v>0</v>
      </c>
      <c r="K506" s="2">
        <v>4.5261701568961137E-2</v>
      </c>
      <c r="L506" s="2">
        <f t="shared" si="73"/>
        <v>4.049257595632706E-3</v>
      </c>
      <c r="M506">
        <v>9</v>
      </c>
      <c r="N506" s="2">
        <f t="shared" si="74"/>
        <v>0.80516898608349896</v>
      </c>
      <c r="O506">
        <v>2</v>
      </c>
      <c r="P506" s="2">
        <f t="shared" si="75"/>
        <v>0.17892644135188865</v>
      </c>
      <c r="Q506" t="s">
        <v>223</v>
      </c>
      <c r="R506" t="s">
        <v>74</v>
      </c>
      <c r="S506">
        <v>0</v>
      </c>
      <c r="T506" s="2">
        <f t="shared" si="76"/>
        <v>0</v>
      </c>
      <c r="U506" s="2">
        <v>0.27340569905936718</v>
      </c>
      <c r="V506" s="2">
        <f t="shared" si="77"/>
        <v>2.4459754389008992E-2</v>
      </c>
      <c r="W506" s="2">
        <v>3.5942071303725238</v>
      </c>
      <c r="X506" s="2">
        <f t="shared" si="78"/>
        <v>0.32154934565956972</v>
      </c>
      <c r="Y506" s="2">
        <v>3.4450269229710102</v>
      </c>
      <c r="Z506" s="2">
        <f t="shared" si="79"/>
        <v>0.30820320384432492</v>
      </c>
      <c r="AA506">
        <v>2020</v>
      </c>
      <c r="AB506">
        <v>0</v>
      </c>
      <c r="AC506">
        <v>6000000</v>
      </c>
    </row>
    <row r="507" spans="1:29" x14ac:dyDescent="0.2">
      <c r="A507">
        <v>7888</v>
      </c>
      <c r="B507" t="s">
        <v>202</v>
      </c>
      <c r="C507">
        <v>21</v>
      </c>
      <c r="D507">
        <v>1026</v>
      </c>
      <c r="E507">
        <v>0</v>
      </c>
      <c r="F507" s="2">
        <f t="shared" si="70"/>
        <v>0</v>
      </c>
      <c r="G507" s="2">
        <v>0.153056500479579</v>
      </c>
      <c r="H507" s="2">
        <f t="shared" si="71"/>
        <v>1.3426008813998159E-2</v>
      </c>
      <c r="I507">
        <v>0</v>
      </c>
      <c r="J507" s="2">
        <f t="shared" si="72"/>
        <v>0</v>
      </c>
      <c r="K507" s="2">
        <v>9.3934701755642877E-2</v>
      </c>
      <c r="L507" s="2">
        <f t="shared" si="73"/>
        <v>8.239886118916042E-3</v>
      </c>
      <c r="M507">
        <v>4</v>
      </c>
      <c r="N507" s="2">
        <f t="shared" si="74"/>
        <v>0.35087719298245612</v>
      </c>
      <c r="O507">
        <v>2</v>
      </c>
      <c r="P507" s="2">
        <f t="shared" si="75"/>
        <v>0.17543859649122806</v>
      </c>
      <c r="Q507" t="s">
        <v>223</v>
      </c>
      <c r="R507" t="s">
        <v>74</v>
      </c>
      <c r="S507">
        <v>0</v>
      </c>
      <c r="T507" s="2">
        <f t="shared" si="76"/>
        <v>0</v>
      </c>
      <c r="U507" s="2">
        <v>0.153056500479579</v>
      </c>
      <c r="V507" s="2">
        <f t="shared" si="77"/>
        <v>1.3426008813998159E-2</v>
      </c>
      <c r="W507" s="2">
        <v>1.3556774035096171</v>
      </c>
      <c r="X507" s="2">
        <f t="shared" si="78"/>
        <v>0.11891907048329974</v>
      </c>
      <c r="Y507" s="2">
        <v>1.296107988804579</v>
      </c>
      <c r="Z507" s="2">
        <f t="shared" si="79"/>
        <v>0.11369368322847184</v>
      </c>
      <c r="AA507">
        <v>2021</v>
      </c>
      <c r="AB507">
        <v>1</v>
      </c>
      <c r="AC507">
        <v>4000000</v>
      </c>
    </row>
    <row r="508" spans="1:29" x14ac:dyDescent="0.2">
      <c r="A508">
        <v>7888</v>
      </c>
      <c r="B508" t="s">
        <v>202</v>
      </c>
      <c r="C508">
        <v>34</v>
      </c>
      <c r="D508">
        <v>2772</v>
      </c>
      <c r="E508">
        <v>3</v>
      </c>
      <c r="F508" s="2">
        <f t="shared" si="70"/>
        <v>9.7402597402597407E-2</v>
      </c>
      <c r="G508" s="2">
        <v>2.1369617320597172</v>
      </c>
      <c r="H508" s="2">
        <f t="shared" si="71"/>
        <v>6.938187441752329E-2</v>
      </c>
      <c r="I508">
        <v>1</v>
      </c>
      <c r="J508" s="2">
        <f t="shared" si="72"/>
        <v>3.2467532467532464E-2</v>
      </c>
      <c r="K508" s="2">
        <v>0.56939707323908806</v>
      </c>
      <c r="L508" s="2">
        <f t="shared" si="73"/>
        <v>1.8486917962308055E-2</v>
      </c>
      <c r="M508">
        <v>38</v>
      </c>
      <c r="N508" s="2">
        <f t="shared" si="74"/>
        <v>1.2337662337662336</v>
      </c>
      <c r="O508">
        <v>5</v>
      </c>
      <c r="P508" s="2">
        <f t="shared" si="75"/>
        <v>0.16233766233766234</v>
      </c>
      <c r="Q508" t="s">
        <v>223</v>
      </c>
      <c r="R508" t="s">
        <v>74</v>
      </c>
      <c r="S508">
        <v>3</v>
      </c>
      <c r="T508" s="2">
        <f t="shared" si="76"/>
        <v>9.7402597402597407E-2</v>
      </c>
      <c r="U508" s="2">
        <v>2.1369617320597172</v>
      </c>
      <c r="V508" s="2">
        <f t="shared" si="77"/>
        <v>6.938187441752329E-2</v>
      </c>
      <c r="W508" s="2">
        <v>4.9844193514436483</v>
      </c>
      <c r="X508" s="2">
        <f t="shared" si="78"/>
        <v>0.16183179712479379</v>
      </c>
      <c r="Y508" s="2">
        <v>3.642415271140635</v>
      </c>
      <c r="Z508" s="2">
        <f t="shared" si="79"/>
        <v>0.11826023607599463</v>
      </c>
      <c r="AA508">
        <v>2022</v>
      </c>
      <c r="AB508">
        <v>1</v>
      </c>
      <c r="AC508">
        <v>4000000</v>
      </c>
    </row>
    <row r="509" spans="1:29" x14ac:dyDescent="0.2">
      <c r="A509">
        <v>8065</v>
      </c>
      <c r="B509" t="s">
        <v>203</v>
      </c>
      <c r="C509">
        <v>10</v>
      </c>
      <c r="D509">
        <v>665</v>
      </c>
      <c r="E509">
        <v>1</v>
      </c>
      <c r="F509" s="2">
        <f t="shared" si="70"/>
        <v>0.13533834586466167</v>
      </c>
      <c r="G509" s="2">
        <v>0.72348798811435699</v>
      </c>
      <c r="H509" s="2">
        <f t="shared" si="71"/>
        <v>9.7915667564349065E-2</v>
      </c>
      <c r="I509">
        <v>1</v>
      </c>
      <c r="J509" s="2">
        <f t="shared" si="72"/>
        <v>0.13533834586466167</v>
      </c>
      <c r="K509" s="2">
        <v>0.46819869987666612</v>
      </c>
      <c r="L509" s="2">
        <f t="shared" si="73"/>
        <v>6.3365237577293163E-2</v>
      </c>
      <c r="M509">
        <v>2</v>
      </c>
      <c r="N509" s="2">
        <f t="shared" si="74"/>
        <v>0.27067669172932335</v>
      </c>
      <c r="O509">
        <v>5</v>
      </c>
      <c r="P509" s="2">
        <f t="shared" si="75"/>
        <v>0.67669172932330823</v>
      </c>
      <c r="Q509" t="s">
        <v>224</v>
      </c>
      <c r="R509" t="s">
        <v>23</v>
      </c>
      <c r="S509">
        <v>1</v>
      </c>
      <c r="T509" s="2">
        <f t="shared" si="76"/>
        <v>0.13533834586466167</v>
      </c>
      <c r="U509" s="2">
        <v>0.72348798811435699</v>
      </c>
      <c r="V509" s="2">
        <f t="shared" si="77"/>
        <v>9.7915667564349065E-2</v>
      </c>
      <c r="W509" s="2">
        <v>1.154006799682975</v>
      </c>
      <c r="X509" s="2">
        <f t="shared" si="78"/>
        <v>0.15618137138566579</v>
      </c>
      <c r="Y509" s="2">
        <v>9.0317970141768456E-2</v>
      </c>
      <c r="Z509" s="2">
        <f t="shared" si="79"/>
        <v>1.2223484680840844E-2</v>
      </c>
      <c r="AA509">
        <v>2019</v>
      </c>
      <c r="AB509">
        <v>0</v>
      </c>
      <c r="AC509">
        <v>4000000</v>
      </c>
    </row>
    <row r="510" spans="1:29" x14ac:dyDescent="0.2">
      <c r="A510">
        <v>8065</v>
      </c>
      <c r="B510" t="s">
        <v>203</v>
      </c>
      <c r="C510">
        <v>18</v>
      </c>
      <c r="D510">
        <v>1570</v>
      </c>
      <c r="E510">
        <v>1</v>
      </c>
      <c r="F510" s="2">
        <f t="shared" si="70"/>
        <v>5.7324840764331204E-2</v>
      </c>
      <c r="G510" s="2">
        <v>0.91649162396788597</v>
      </c>
      <c r="H510" s="2">
        <f t="shared" si="71"/>
        <v>5.2537736405802379E-2</v>
      </c>
      <c r="I510">
        <v>1</v>
      </c>
      <c r="J510" s="2">
        <f t="shared" si="72"/>
        <v>5.7324840764331204E-2</v>
      </c>
      <c r="K510" s="2">
        <v>1.0382906943559651</v>
      </c>
      <c r="L510" s="2">
        <f t="shared" si="73"/>
        <v>5.951984872104258E-2</v>
      </c>
      <c r="M510">
        <v>9</v>
      </c>
      <c r="N510" s="2">
        <f t="shared" si="74"/>
        <v>0.51592356687898089</v>
      </c>
      <c r="O510">
        <v>16</v>
      </c>
      <c r="P510" s="2">
        <f t="shared" si="75"/>
        <v>0.91719745222929927</v>
      </c>
      <c r="Q510" t="s">
        <v>224</v>
      </c>
      <c r="R510" t="s">
        <v>23</v>
      </c>
      <c r="S510">
        <v>1</v>
      </c>
      <c r="T510" s="2">
        <f t="shared" si="76"/>
        <v>5.7324840764331204E-2</v>
      </c>
      <c r="U510" s="2">
        <v>0.91649162396788597</v>
      </c>
      <c r="V510" s="2">
        <f t="shared" si="77"/>
        <v>5.2537736405802379E-2</v>
      </c>
      <c r="W510" s="2">
        <v>4.7842341735959053</v>
      </c>
      <c r="X510" s="2">
        <f t="shared" si="78"/>
        <v>0.27425546218065699</v>
      </c>
      <c r="Y510" s="2">
        <v>2.9207376725971699</v>
      </c>
      <c r="Z510" s="2">
        <f t="shared" si="79"/>
        <v>0.16743082199601611</v>
      </c>
      <c r="AA510">
        <v>2020</v>
      </c>
      <c r="AB510">
        <v>0</v>
      </c>
      <c r="AC510">
        <v>5000000</v>
      </c>
    </row>
    <row r="511" spans="1:29" x14ac:dyDescent="0.2">
      <c r="A511">
        <v>8065</v>
      </c>
      <c r="B511" t="s">
        <v>203</v>
      </c>
      <c r="C511">
        <v>28</v>
      </c>
      <c r="D511">
        <v>2185</v>
      </c>
      <c r="E511">
        <v>2</v>
      </c>
      <c r="F511" s="2">
        <f t="shared" si="70"/>
        <v>8.2379862700228831E-2</v>
      </c>
      <c r="G511" s="2">
        <v>0.935566789470613</v>
      </c>
      <c r="H511" s="2">
        <f t="shared" si="71"/>
        <v>3.8535931831741498E-2</v>
      </c>
      <c r="I511">
        <v>5</v>
      </c>
      <c r="J511" s="2">
        <f t="shared" si="72"/>
        <v>0.20594965675057209</v>
      </c>
      <c r="K511" s="2">
        <v>2.7416156679391861</v>
      </c>
      <c r="L511" s="2">
        <f t="shared" si="73"/>
        <v>0.11292696115081315</v>
      </c>
      <c r="M511">
        <v>12</v>
      </c>
      <c r="N511" s="2">
        <f t="shared" si="74"/>
        <v>0.49427917620137296</v>
      </c>
      <c r="O511">
        <v>32</v>
      </c>
      <c r="P511" s="2">
        <f t="shared" si="75"/>
        <v>1.3180778032036613</v>
      </c>
      <c r="Q511" t="s">
        <v>224</v>
      </c>
      <c r="R511" t="s">
        <v>23</v>
      </c>
      <c r="S511">
        <v>2</v>
      </c>
      <c r="T511" s="2">
        <f t="shared" si="76"/>
        <v>8.2379862700228831E-2</v>
      </c>
      <c r="U511" s="2">
        <v>0.935566789470613</v>
      </c>
      <c r="V511" s="2">
        <f t="shared" si="77"/>
        <v>3.8535931831741498E-2</v>
      </c>
      <c r="W511" s="2">
        <v>6.2490657493472099</v>
      </c>
      <c r="X511" s="2">
        <f t="shared" si="78"/>
        <v>0.25739858921796288</v>
      </c>
      <c r="Y511" s="2">
        <v>3.5571512216702099</v>
      </c>
      <c r="Z511" s="2">
        <f t="shared" si="79"/>
        <v>0.14651881462257157</v>
      </c>
      <c r="AA511">
        <v>2021</v>
      </c>
      <c r="AB511">
        <v>1</v>
      </c>
      <c r="AC511">
        <v>5500000</v>
      </c>
    </row>
    <row r="512" spans="1:29" x14ac:dyDescent="0.2">
      <c r="A512">
        <v>8065</v>
      </c>
      <c r="B512" t="s">
        <v>203</v>
      </c>
      <c r="C512">
        <v>22</v>
      </c>
      <c r="D512">
        <v>1616</v>
      </c>
      <c r="E512">
        <v>0</v>
      </c>
      <c r="F512" s="2">
        <f t="shared" si="70"/>
        <v>0</v>
      </c>
      <c r="G512" s="2">
        <v>0.50451340992003679</v>
      </c>
      <c r="H512" s="2">
        <f t="shared" si="71"/>
        <v>2.8097900304952544E-2</v>
      </c>
      <c r="I512">
        <v>2</v>
      </c>
      <c r="J512" s="2">
        <f t="shared" si="72"/>
        <v>0.11138613861386139</v>
      </c>
      <c r="K512" s="2">
        <v>1.5134401302784679</v>
      </c>
      <c r="L512" s="2">
        <f t="shared" si="73"/>
        <v>8.4288126067488936E-2</v>
      </c>
      <c r="M512">
        <v>9</v>
      </c>
      <c r="N512" s="2">
        <f t="shared" si="74"/>
        <v>0.50123762376237624</v>
      </c>
      <c r="O512">
        <v>10</v>
      </c>
      <c r="P512" s="2">
        <f t="shared" si="75"/>
        <v>0.55693069306930698</v>
      </c>
      <c r="Q512" t="s">
        <v>224</v>
      </c>
      <c r="R512" t="s">
        <v>23</v>
      </c>
      <c r="S512">
        <v>0</v>
      </c>
      <c r="T512" s="2">
        <f t="shared" si="76"/>
        <v>0</v>
      </c>
      <c r="U512" s="2">
        <v>0.50451340992003679</v>
      </c>
      <c r="V512" s="2">
        <f t="shared" si="77"/>
        <v>2.8097900304952544E-2</v>
      </c>
      <c r="W512" s="2">
        <v>4.3672290202230224</v>
      </c>
      <c r="X512" s="2">
        <f t="shared" si="78"/>
        <v>0.24322438850251982</v>
      </c>
      <c r="Y512" s="2">
        <v>3.1154607310891151</v>
      </c>
      <c r="Z512" s="2">
        <f t="shared" si="79"/>
        <v>0.17350957041956705</v>
      </c>
      <c r="AA512">
        <v>2022</v>
      </c>
      <c r="AB512">
        <v>1</v>
      </c>
      <c r="AC512">
        <v>5500000</v>
      </c>
    </row>
    <row r="513" spans="1:29" x14ac:dyDescent="0.2">
      <c r="A513">
        <v>8288</v>
      </c>
      <c r="B513" t="s">
        <v>204</v>
      </c>
      <c r="C513">
        <v>38</v>
      </c>
      <c r="D513">
        <v>3420</v>
      </c>
      <c r="E513">
        <v>10</v>
      </c>
      <c r="F513" s="2">
        <f t="shared" si="70"/>
        <v>0.26315789473684209</v>
      </c>
      <c r="G513" s="2">
        <v>8.9829791784286499</v>
      </c>
      <c r="H513" s="2">
        <f t="shared" si="71"/>
        <v>0.2363941889060171</v>
      </c>
      <c r="I513">
        <v>1</v>
      </c>
      <c r="J513" s="2">
        <f t="shared" si="72"/>
        <v>2.6315789473684213E-2</v>
      </c>
      <c r="K513" s="2">
        <v>2.444754745811224</v>
      </c>
      <c r="L513" s="2">
        <f t="shared" si="73"/>
        <v>6.4335651205558522E-2</v>
      </c>
      <c r="M513">
        <v>64</v>
      </c>
      <c r="N513" s="2">
        <f t="shared" si="74"/>
        <v>1.6842105263157896</v>
      </c>
      <c r="O513">
        <v>18</v>
      </c>
      <c r="P513" s="2">
        <f t="shared" si="75"/>
        <v>0.47368421052631576</v>
      </c>
      <c r="Q513" t="s">
        <v>223</v>
      </c>
      <c r="R513" t="s">
        <v>62</v>
      </c>
      <c r="S513">
        <v>10</v>
      </c>
      <c r="T513" s="2">
        <f t="shared" si="76"/>
        <v>0.26315789473684209</v>
      </c>
      <c r="U513" s="2">
        <v>8.9829791784286499</v>
      </c>
      <c r="V513" s="2">
        <f t="shared" si="77"/>
        <v>0.2363941889060171</v>
      </c>
      <c r="W513" s="2">
        <v>16.998424904420968</v>
      </c>
      <c r="X513" s="2">
        <f t="shared" si="78"/>
        <v>0.44732697116897285</v>
      </c>
      <c r="Y513" s="2">
        <v>8.7169557381421328</v>
      </c>
      <c r="Z513" s="2">
        <f t="shared" si="79"/>
        <v>0.2293935720563719</v>
      </c>
      <c r="AA513">
        <v>2020</v>
      </c>
      <c r="AB513">
        <v>0</v>
      </c>
      <c r="AC513">
        <v>40000000</v>
      </c>
    </row>
    <row r="514" spans="1:29" x14ac:dyDescent="0.2">
      <c r="A514">
        <v>8288</v>
      </c>
      <c r="B514" t="s">
        <v>204</v>
      </c>
      <c r="C514">
        <v>35</v>
      </c>
      <c r="D514">
        <v>3062</v>
      </c>
      <c r="E514">
        <v>5</v>
      </c>
      <c r="F514" s="2">
        <f t="shared" si="70"/>
        <v>0.14696276943174397</v>
      </c>
      <c r="G514" s="2">
        <v>5.5038599548861384</v>
      </c>
      <c r="H514" s="2">
        <f t="shared" si="71"/>
        <v>0.16177250030690804</v>
      </c>
      <c r="I514">
        <v>1</v>
      </c>
      <c r="J514" s="2">
        <f t="shared" si="72"/>
        <v>2.9392553886348791E-2</v>
      </c>
      <c r="K514" s="2">
        <v>2.1671802196651702</v>
      </c>
      <c r="L514" s="2">
        <f t="shared" si="73"/>
        <v>6.3698961387937722E-2</v>
      </c>
      <c r="M514">
        <v>44</v>
      </c>
      <c r="N514" s="2">
        <f t="shared" si="74"/>
        <v>1.2932723709993468</v>
      </c>
      <c r="O514">
        <v>21</v>
      </c>
      <c r="P514" s="2">
        <f t="shared" si="75"/>
        <v>0.61724363161332463</v>
      </c>
      <c r="Q514" t="s">
        <v>223</v>
      </c>
      <c r="R514" t="s">
        <v>62</v>
      </c>
      <c r="S514">
        <v>5</v>
      </c>
      <c r="T514" s="2">
        <f t="shared" si="76"/>
        <v>0.14696276943174397</v>
      </c>
      <c r="U514" s="2">
        <v>5.5038599548861384</v>
      </c>
      <c r="V514" s="2">
        <f t="shared" si="77"/>
        <v>0.16177250030690804</v>
      </c>
      <c r="W514" s="2">
        <v>9.5457256752997637</v>
      </c>
      <c r="X514" s="2">
        <f t="shared" si="78"/>
        <v>0.28057325629555152</v>
      </c>
      <c r="Y514" s="2">
        <v>5.4336252175271511</v>
      </c>
      <c r="Z514" s="2">
        <f t="shared" si="79"/>
        <v>0.15970812200439047</v>
      </c>
      <c r="AA514">
        <v>2021</v>
      </c>
      <c r="AB514">
        <v>0</v>
      </c>
      <c r="AC514">
        <v>45000000</v>
      </c>
    </row>
    <row r="515" spans="1:29" x14ac:dyDescent="0.2">
      <c r="A515">
        <v>8288</v>
      </c>
      <c r="B515" t="s">
        <v>204</v>
      </c>
      <c r="C515">
        <v>36</v>
      </c>
      <c r="D515">
        <v>2839</v>
      </c>
      <c r="E515">
        <v>2</v>
      </c>
      <c r="F515" s="2">
        <f t="shared" ref="F515:F541" si="80">E515/D515*90</f>
        <v>6.340260655160268E-2</v>
      </c>
      <c r="G515" s="2">
        <v>3.8257691217586398</v>
      </c>
      <c r="H515" s="2">
        <f t="shared" ref="H515:H541" si="81">G515/D515*90</f>
        <v>0.12128186719206677</v>
      </c>
      <c r="I515">
        <v>3</v>
      </c>
      <c r="J515" s="2">
        <f t="shared" ref="J515:J541" si="82">I515/D515*90</f>
        <v>9.5103909827404007E-2</v>
      </c>
      <c r="K515" s="2">
        <v>1.9310189355164771</v>
      </c>
      <c r="L515" s="2">
        <f t="shared" ref="L515:L541" si="83">K515/D515*90</f>
        <v>6.1215816906122905E-2</v>
      </c>
      <c r="M515">
        <v>34</v>
      </c>
      <c r="N515" s="2">
        <f t="shared" ref="N515:N541" si="84">M515/D515*90</f>
        <v>1.0778443113772456</v>
      </c>
      <c r="O515">
        <v>15</v>
      </c>
      <c r="P515" s="2">
        <f t="shared" ref="P515:P541" si="85">O515/D515*90</f>
        <v>0.47551954913702005</v>
      </c>
      <c r="Q515" t="s">
        <v>223</v>
      </c>
      <c r="R515" t="s">
        <v>62</v>
      </c>
      <c r="S515">
        <v>2</v>
      </c>
      <c r="T515" s="2">
        <f t="shared" ref="T515:T541" si="86">S515/D515*90</f>
        <v>6.340260655160268E-2</v>
      </c>
      <c r="U515" s="2">
        <v>3.8257691217586398</v>
      </c>
      <c r="V515" s="2">
        <f t="shared" ref="V515:V541" si="87">U515/D515*90</f>
        <v>0.12128186719206677</v>
      </c>
      <c r="W515" s="2">
        <v>8.6262110406532884</v>
      </c>
      <c r="X515" s="2">
        <f t="shared" ref="X515:X541" si="88">W515/D515*90</f>
        <v>0.27346213232081579</v>
      </c>
      <c r="Y515" s="2">
        <v>5.910706527531147</v>
      </c>
      <c r="Z515" s="2">
        <f t="shared" ref="Z515:Z541" si="89">Y515/D515*90</f>
        <v>0.18737710020352352</v>
      </c>
      <c r="AA515">
        <v>2022</v>
      </c>
      <c r="AB515">
        <v>1</v>
      </c>
      <c r="AC515">
        <v>35000000</v>
      </c>
    </row>
    <row r="516" spans="1:29" x14ac:dyDescent="0.2">
      <c r="A516">
        <v>8288</v>
      </c>
      <c r="B516" t="s">
        <v>204</v>
      </c>
      <c r="C516">
        <v>37</v>
      </c>
      <c r="D516">
        <v>2885</v>
      </c>
      <c r="E516">
        <v>7</v>
      </c>
      <c r="F516" s="2">
        <f t="shared" si="80"/>
        <v>0.21837088388214904</v>
      </c>
      <c r="G516" s="2">
        <v>7.4668164439499378</v>
      </c>
      <c r="H516" s="2">
        <f t="shared" si="81"/>
        <v>0.23293361523587328</v>
      </c>
      <c r="I516">
        <v>2</v>
      </c>
      <c r="J516" s="2">
        <f t="shared" si="82"/>
        <v>6.2391681109185443E-2</v>
      </c>
      <c r="K516" s="2">
        <v>2.149444160982966</v>
      </c>
      <c r="L516" s="2">
        <f t="shared" si="83"/>
        <v>6.7053717327024934E-2</v>
      </c>
      <c r="M516">
        <v>42</v>
      </c>
      <c r="N516" s="2">
        <f t="shared" si="84"/>
        <v>1.3102253032928943</v>
      </c>
      <c r="O516">
        <v>20</v>
      </c>
      <c r="P516" s="2">
        <f t="shared" si="85"/>
        <v>0.62391681109185437</v>
      </c>
      <c r="Q516" t="s">
        <v>223</v>
      </c>
      <c r="R516" t="s">
        <v>62</v>
      </c>
      <c r="S516">
        <v>7</v>
      </c>
      <c r="T516" s="2">
        <f t="shared" si="86"/>
        <v>0.21837088388214904</v>
      </c>
      <c r="U516" s="2">
        <v>7.4668164439499378</v>
      </c>
      <c r="V516" s="2">
        <f t="shared" si="87"/>
        <v>0.23293361523587328</v>
      </c>
      <c r="W516" s="2">
        <v>12.12306517641991</v>
      </c>
      <c r="X516" s="2">
        <f t="shared" si="88"/>
        <v>0.37818920827653096</v>
      </c>
      <c r="Y516" s="2">
        <v>6.0390483168885112</v>
      </c>
      <c r="Z516" s="2">
        <f t="shared" si="89"/>
        <v>0.18839318839513555</v>
      </c>
      <c r="AA516">
        <v>2023</v>
      </c>
      <c r="AB516">
        <v>1</v>
      </c>
      <c r="AC516">
        <v>30000000</v>
      </c>
    </row>
    <row r="517" spans="1:29" x14ac:dyDescent="0.2">
      <c r="A517">
        <v>8864</v>
      </c>
      <c r="B517" t="s">
        <v>205</v>
      </c>
      <c r="C517">
        <v>38</v>
      </c>
      <c r="D517">
        <v>3386</v>
      </c>
      <c r="E517">
        <v>4</v>
      </c>
      <c r="F517" s="2">
        <f t="shared" si="80"/>
        <v>0.10632014176018902</v>
      </c>
      <c r="G517" s="2">
        <v>2.4832568001002069</v>
      </c>
      <c r="H517" s="2">
        <f t="shared" si="81"/>
        <v>6.6005053753401835E-2</v>
      </c>
      <c r="I517">
        <v>3</v>
      </c>
      <c r="J517" s="2">
        <f t="shared" si="82"/>
        <v>7.9740106320141765E-2</v>
      </c>
      <c r="K517" s="2">
        <v>2.902315404266119</v>
      </c>
      <c r="L517" s="2">
        <f t="shared" si="83"/>
        <v>7.7143646303588512E-2</v>
      </c>
      <c r="M517">
        <v>37</v>
      </c>
      <c r="N517" s="2">
        <f t="shared" si="84"/>
        <v>0.98346131128174841</v>
      </c>
      <c r="O517">
        <v>28</v>
      </c>
      <c r="P517" s="2">
        <f t="shared" si="85"/>
        <v>0.74424099232132312</v>
      </c>
      <c r="Q517" t="s">
        <v>224</v>
      </c>
      <c r="R517" t="s">
        <v>126</v>
      </c>
      <c r="S517">
        <v>4</v>
      </c>
      <c r="T517" s="2">
        <f t="shared" si="86"/>
        <v>0.10632014176018902</v>
      </c>
      <c r="U517" s="2">
        <v>2.4832568001002069</v>
      </c>
      <c r="V517" s="2">
        <f t="shared" si="87"/>
        <v>6.6005053753401835E-2</v>
      </c>
      <c r="W517" s="2">
        <v>11.008670851588249</v>
      </c>
      <c r="X517" s="2">
        <f t="shared" si="88"/>
        <v>0.29261086138303083</v>
      </c>
      <c r="Y517" s="2">
        <v>7.5639032647013664</v>
      </c>
      <c r="Z517" s="2">
        <f t="shared" si="89"/>
        <v>0.20104881684085144</v>
      </c>
      <c r="AA517">
        <v>2021</v>
      </c>
      <c r="AB517">
        <v>0</v>
      </c>
      <c r="AC517">
        <v>25000000</v>
      </c>
    </row>
    <row r="518" spans="1:29" x14ac:dyDescent="0.2">
      <c r="A518">
        <v>8864</v>
      </c>
      <c r="B518" t="s">
        <v>205</v>
      </c>
      <c r="C518">
        <v>26</v>
      </c>
      <c r="D518">
        <v>1822</v>
      </c>
      <c r="E518">
        <v>0</v>
      </c>
      <c r="F518" s="2">
        <f t="shared" si="80"/>
        <v>0</v>
      </c>
      <c r="G518" s="2">
        <v>0.16667070053517821</v>
      </c>
      <c r="H518" s="2">
        <f t="shared" si="81"/>
        <v>8.2329105643062783E-3</v>
      </c>
      <c r="I518">
        <v>1</v>
      </c>
      <c r="J518" s="2">
        <f t="shared" si="82"/>
        <v>4.9396267837541162E-2</v>
      </c>
      <c r="K518" s="2">
        <v>0.46759939566254621</v>
      </c>
      <c r="L518" s="2">
        <f t="shared" si="83"/>
        <v>2.3097664988819516E-2</v>
      </c>
      <c r="M518">
        <v>7</v>
      </c>
      <c r="N518" s="2">
        <f t="shared" si="84"/>
        <v>0.34577387486278816</v>
      </c>
      <c r="O518">
        <v>8</v>
      </c>
      <c r="P518" s="2">
        <f t="shared" si="85"/>
        <v>0.3951701427003293</v>
      </c>
      <c r="Q518" t="s">
        <v>224</v>
      </c>
      <c r="R518" t="s">
        <v>126</v>
      </c>
      <c r="S518">
        <v>0</v>
      </c>
      <c r="T518" s="2">
        <f t="shared" si="86"/>
        <v>0</v>
      </c>
      <c r="U518" s="2">
        <v>0.16667070053517821</v>
      </c>
      <c r="V518" s="2">
        <f t="shared" si="87"/>
        <v>8.2329105643062783E-3</v>
      </c>
      <c r="W518" s="2">
        <v>5.9866938851773739</v>
      </c>
      <c r="X518" s="2">
        <f t="shared" si="88"/>
        <v>0.29572033461359148</v>
      </c>
      <c r="Y518" s="2">
        <v>5.5305079966783524</v>
      </c>
      <c r="Z518" s="2">
        <f t="shared" si="89"/>
        <v>0.27318645428158711</v>
      </c>
      <c r="AA518">
        <v>2022</v>
      </c>
      <c r="AB518">
        <v>0</v>
      </c>
      <c r="AC518">
        <v>25000000</v>
      </c>
    </row>
    <row r="519" spans="1:29" x14ac:dyDescent="0.2">
      <c r="A519">
        <v>8864</v>
      </c>
      <c r="B519" t="s">
        <v>205</v>
      </c>
      <c r="C519">
        <v>29</v>
      </c>
      <c r="D519">
        <v>2142</v>
      </c>
      <c r="E519">
        <v>2</v>
      </c>
      <c r="F519" s="2">
        <f t="shared" si="80"/>
        <v>8.4033613445378158E-2</v>
      </c>
      <c r="G519" s="2">
        <v>4.4861145783215761</v>
      </c>
      <c r="H519" s="2">
        <f t="shared" si="81"/>
        <v>0.18849220917317547</v>
      </c>
      <c r="I519">
        <v>2</v>
      </c>
      <c r="J519" s="2">
        <f t="shared" si="82"/>
        <v>8.4033613445378158E-2</v>
      </c>
      <c r="K519" s="2">
        <v>2.969944916665554</v>
      </c>
      <c r="L519" s="2">
        <f t="shared" si="83"/>
        <v>0.1247876015405695</v>
      </c>
      <c r="M519">
        <v>33</v>
      </c>
      <c r="N519" s="2">
        <f t="shared" si="84"/>
        <v>1.3865546218487395</v>
      </c>
      <c r="O519">
        <v>13</v>
      </c>
      <c r="P519" s="2">
        <f t="shared" si="85"/>
        <v>0.54621848739495804</v>
      </c>
      <c r="Q519" t="s">
        <v>224</v>
      </c>
      <c r="R519" t="s">
        <v>126</v>
      </c>
      <c r="S519">
        <v>2</v>
      </c>
      <c r="T519" s="2">
        <f t="shared" si="86"/>
        <v>8.4033613445378158E-2</v>
      </c>
      <c r="U519" s="2">
        <v>4.4861145783215761</v>
      </c>
      <c r="V519" s="2">
        <f t="shared" si="87"/>
        <v>0.18849220917317547</v>
      </c>
      <c r="W519" s="2">
        <v>14.26176761090756</v>
      </c>
      <c r="X519" s="2">
        <f t="shared" si="88"/>
        <v>0.59923393323141005</v>
      </c>
      <c r="Y519" s="2">
        <v>8.8496870044618845</v>
      </c>
      <c r="Z519" s="2">
        <f t="shared" si="89"/>
        <v>0.3718355884227682</v>
      </c>
      <c r="AA519">
        <v>2023</v>
      </c>
      <c r="AB519">
        <v>1</v>
      </c>
      <c r="AC519">
        <v>28000000</v>
      </c>
    </row>
    <row r="520" spans="1:29" x14ac:dyDescent="0.2">
      <c r="A520">
        <v>8864</v>
      </c>
      <c r="B520" t="s">
        <v>205</v>
      </c>
      <c r="C520">
        <v>27</v>
      </c>
      <c r="D520">
        <v>2085</v>
      </c>
      <c r="E520">
        <v>1</v>
      </c>
      <c r="F520" s="2">
        <f t="shared" si="80"/>
        <v>4.3165467625899283E-2</v>
      </c>
      <c r="G520" s="2">
        <v>0.49553846661001438</v>
      </c>
      <c r="H520" s="2">
        <f t="shared" si="81"/>
        <v>2.1390149637842349E-2</v>
      </c>
      <c r="I520">
        <v>1</v>
      </c>
      <c r="J520" s="2">
        <f t="shared" si="82"/>
        <v>4.3165467625899283E-2</v>
      </c>
      <c r="K520" s="2">
        <v>1.486631970852613</v>
      </c>
      <c r="L520" s="2">
        <f t="shared" si="83"/>
        <v>6.4171164209465309E-2</v>
      </c>
      <c r="M520">
        <v>13</v>
      </c>
      <c r="N520" s="2">
        <f t="shared" si="84"/>
        <v>0.5611510791366906</v>
      </c>
      <c r="O520">
        <v>10</v>
      </c>
      <c r="P520" s="2">
        <f t="shared" si="85"/>
        <v>0.43165467625899279</v>
      </c>
      <c r="Q520" t="s">
        <v>224</v>
      </c>
      <c r="R520" t="s">
        <v>126</v>
      </c>
      <c r="S520">
        <v>1</v>
      </c>
      <c r="T520" s="2">
        <f t="shared" si="86"/>
        <v>4.3165467625899283E-2</v>
      </c>
      <c r="U520" s="2">
        <v>0.49553846661001438</v>
      </c>
      <c r="V520" s="2">
        <f t="shared" si="87"/>
        <v>2.1390149637842349E-2</v>
      </c>
      <c r="W520" s="2">
        <v>7.0914006540551782</v>
      </c>
      <c r="X520" s="2">
        <f t="shared" si="88"/>
        <v>0.30610362535489977</v>
      </c>
      <c r="Y520" s="2">
        <v>6.5722703114151946</v>
      </c>
      <c r="Z520" s="2">
        <f t="shared" si="89"/>
        <v>0.28369512135605157</v>
      </c>
      <c r="AA520">
        <v>2024</v>
      </c>
      <c r="AB520">
        <v>1</v>
      </c>
      <c r="AC520">
        <v>25000000</v>
      </c>
    </row>
    <row r="521" spans="1:29" x14ac:dyDescent="0.2">
      <c r="A521">
        <v>8865</v>
      </c>
      <c r="B521" t="s">
        <v>206</v>
      </c>
      <c r="C521">
        <v>35</v>
      </c>
      <c r="D521">
        <v>2970</v>
      </c>
      <c r="E521">
        <v>11</v>
      </c>
      <c r="F521" s="2">
        <f t="shared" si="80"/>
        <v>0.33333333333333337</v>
      </c>
      <c r="G521" s="2">
        <v>11.49816060438752</v>
      </c>
      <c r="H521" s="2">
        <f t="shared" si="81"/>
        <v>0.34842910922386422</v>
      </c>
      <c r="I521">
        <v>2</v>
      </c>
      <c r="J521" s="2">
        <f t="shared" si="82"/>
        <v>6.0606060606060608E-2</v>
      </c>
      <c r="K521" s="2">
        <v>2.9976101331412792</v>
      </c>
      <c r="L521" s="2">
        <f t="shared" si="83"/>
        <v>9.0836670701250885E-2</v>
      </c>
      <c r="M521">
        <v>77</v>
      </c>
      <c r="N521" s="2">
        <f t="shared" si="84"/>
        <v>2.3333333333333335</v>
      </c>
      <c r="O521">
        <v>35</v>
      </c>
      <c r="P521" s="2">
        <f t="shared" si="85"/>
        <v>1.0606060606060606</v>
      </c>
      <c r="Q521" t="s">
        <v>222</v>
      </c>
      <c r="R521" t="s">
        <v>126</v>
      </c>
      <c r="S521">
        <v>10</v>
      </c>
      <c r="T521" s="2">
        <f t="shared" si="86"/>
        <v>0.30303030303030304</v>
      </c>
      <c r="U521" s="2">
        <v>10.736988637596371</v>
      </c>
      <c r="V521" s="2">
        <f t="shared" si="87"/>
        <v>0.32536329204837489</v>
      </c>
      <c r="W521" s="2">
        <v>17.14851103909314</v>
      </c>
      <c r="X521" s="2">
        <f t="shared" si="88"/>
        <v>0.51965184966948907</v>
      </c>
      <c r="Y521" s="2">
        <v>5.5388928959146142</v>
      </c>
      <c r="Z521" s="2">
        <f t="shared" si="89"/>
        <v>0.16784523927013981</v>
      </c>
      <c r="AA521">
        <v>2021</v>
      </c>
      <c r="AB521">
        <v>0</v>
      </c>
      <c r="AC521">
        <v>35000000</v>
      </c>
    </row>
    <row r="522" spans="1:29" x14ac:dyDescent="0.2">
      <c r="A522">
        <v>8865</v>
      </c>
      <c r="B522" t="s">
        <v>206</v>
      </c>
      <c r="C522">
        <v>37</v>
      </c>
      <c r="D522">
        <v>3150</v>
      </c>
      <c r="E522">
        <v>15</v>
      </c>
      <c r="F522" s="2">
        <f t="shared" si="80"/>
        <v>0.4285714285714286</v>
      </c>
      <c r="G522" s="2">
        <v>17.486295863986019</v>
      </c>
      <c r="H522" s="2">
        <f t="shared" si="81"/>
        <v>0.49960845325674341</v>
      </c>
      <c r="I522">
        <v>6</v>
      </c>
      <c r="J522" s="2">
        <f t="shared" si="82"/>
        <v>0.17142857142857143</v>
      </c>
      <c r="K522" s="2">
        <v>3.6740340031683449</v>
      </c>
      <c r="L522" s="2">
        <f t="shared" si="83"/>
        <v>0.10497240009052415</v>
      </c>
      <c r="M522">
        <v>85</v>
      </c>
      <c r="N522" s="2">
        <f t="shared" si="84"/>
        <v>2.4285714285714288</v>
      </c>
      <c r="O522">
        <v>30</v>
      </c>
      <c r="P522" s="2">
        <f t="shared" si="85"/>
        <v>0.85714285714285721</v>
      </c>
      <c r="Q522" t="s">
        <v>222</v>
      </c>
      <c r="R522" t="s">
        <v>126</v>
      </c>
      <c r="S522">
        <v>14</v>
      </c>
      <c r="T522" s="2">
        <f t="shared" si="86"/>
        <v>0.4</v>
      </c>
      <c r="U522" s="2">
        <v>15.963956996798521</v>
      </c>
      <c r="V522" s="2">
        <f t="shared" si="87"/>
        <v>0.45611305705138627</v>
      </c>
      <c r="W522" s="2">
        <v>22.16256415843964</v>
      </c>
      <c r="X522" s="2">
        <f t="shared" si="88"/>
        <v>0.63321611881256112</v>
      </c>
      <c r="Y522" s="2">
        <v>5.4353157235309482</v>
      </c>
      <c r="Z522" s="2">
        <f t="shared" si="89"/>
        <v>0.15529473495802709</v>
      </c>
      <c r="AA522">
        <v>2022</v>
      </c>
      <c r="AB522">
        <v>0</v>
      </c>
      <c r="AC522">
        <v>40000000</v>
      </c>
    </row>
    <row r="523" spans="1:29" x14ac:dyDescent="0.2">
      <c r="A523">
        <v>8865</v>
      </c>
      <c r="B523" t="s">
        <v>206</v>
      </c>
      <c r="C523">
        <v>37</v>
      </c>
      <c r="D523">
        <v>3250</v>
      </c>
      <c r="E523">
        <v>19</v>
      </c>
      <c r="F523" s="2">
        <f t="shared" si="80"/>
        <v>0.52615384615384619</v>
      </c>
      <c r="G523" s="2">
        <v>19.264598369598389</v>
      </c>
      <c r="H523" s="2">
        <f t="shared" si="81"/>
        <v>0.53348118561964775</v>
      </c>
      <c r="I523">
        <v>13</v>
      </c>
      <c r="J523" s="2">
        <f t="shared" si="82"/>
        <v>0.36</v>
      </c>
      <c r="K523" s="2">
        <v>7.7457445356994867</v>
      </c>
      <c r="L523" s="2">
        <f t="shared" si="83"/>
        <v>0.21449754098860119</v>
      </c>
      <c r="M523">
        <v>106</v>
      </c>
      <c r="N523" s="2">
        <f t="shared" si="84"/>
        <v>2.9353846153846153</v>
      </c>
      <c r="O523">
        <v>45</v>
      </c>
      <c r="P523" s="2">
        <f t="shared" si="85"/>
        <v>1.2461538461538462</v>
      </c>
      <c r="Q523" t="s">
        <v>222</v>
      </c>
      <c r="R523" t="s">
        <v>126</v>
      </c>
      <c r="S523">
        <v>19</v>
      </c>
      <c r="T523" s="2">
        <f t="shared" si="86"/>
        <v>0.52615384615384619</v>
      </c>
      <c r="U523" s="2">
        <v>19.264598369598389</v>
      </c>
      <c r="V523" s="2">
        <f t="shared" si="87"/>
        <v>0.53348118561964775</v>
      </c>
      <c r="W523" s="2">
        <v>29.229417741298679</v>
      </c>
      <c r="X523" s="2">
        <f t="shared" si="88"/>
        <v>0.80943002975904033</v>
      </c>
      <c r="Y523" s="2">
        <v>5.8996418192982674</v>
      </c>
      <c r="Z523" s="2">
        <f t="shared" si="89"/>
        <v>0.16337469653441355</v>
      </c>
      <c r="AA523">
        <v>2023</v>
      </c>
      <c r="AB523">
        <v>1</v>
      </c>
      <c r="AC523">
        <v>65000000</v>
      </c>
    </row>
    <row r="524" spans="1:29" x14ac:dyDescent="0.2">
      <c r="A524">
        <v>8865</v>
      </c>
      <c r="B524" t="s">
        <v>206</v>
      </c>
      <c r="C524">
        <v>38</v>
      </c>
      <c r="D524">
        <v>2666</v>
      </c>
      <c r="E524">
        <v>16</v>
      </c>
      <c r="F524" s="2">
        <f t="shared" si="80"/>
        <v>0.54013503375843963</v>
      </c>
      <c r="G524" s="2">
        <v>18.632458329200741</v>
      </c>
      <c r="H524" s="2">
        <f t="shared" si="81"/>
        <v>0.62900271929034757</v>
      </c>
      <c r="I524">
        <v>8</v>
      </c>
      <c r="J524" s="2">
        <f t="shared" si="82"/>
        <v>0.27006751687921982</v>
      </c>
      <c r="K524" s="2">
        <v>3.8764041848480701</v>
      </c>
      <c r="L524" s="2">
        <f t="shared" si="83"/>
        <v>0.13086135657776679</v>
      </c>
      <c r="M524">
        <v>84</v>
      </c>
      <c r="N524" s="2">
        <f t="shared" si="84"/>
        <v>2.8357089272318077</v>
      </c>
      <c r="O524">
        <v>25</v>
      </c>
      <c r="P524" s="2">
        <f t="shared" si="85"/>
        <v>0.84396099024756188</v>
      </c>
      <c r="Q524" t="s">
        <v>222</v>
      </c>
      <c r="R524" t="s">
        <v>126</v>
      </c>
      <c r="S524">
        <v>14</v>
      </c>
      <c r="T524" s="2">
        <f t="shared" si="86"/>
        <v>0.47261815453863465</v>
      </c>
      <c r="U524" s="2">
        <v>17.110120534896851</v>
      </c>
      <c r="V524" s="2">
        <f t="shared" si="87"/>
        <v>0.57761097079546764</v>
      </c>
      <c r="W524" s="2">
        <v>18.900541841983799</v>
      </c>
      <c r="X524" s="2">
        <f t="shared" si="88"/>
        <v>0.63805280036704493</v>
      </c>
      <c r="Y524" s="2">
        <v>3.2909299470484261</v>
      </c>
      <c r="Z524" s="2">
        <f t="shared" si="89"/>
        <v>0.11109665987785385</v>
      </c>
      <c r="AA524">
        <v>2024</v>
      </c>
      <c r="AB524">
        <v>1</v>
      </c>
      <c r="AC524">
        <v>40000000</v>
      </c>
    </row>
    <row r="525" spans="1:29" x14ac:dyDescent="0.2">
      <c r="A525">
        <v>8941</v>
      </c>
      <c r="B525" t="s">
        <v>207</v>
      </c>
      <c r="C525">
        <v>34</v>
      </c>
      <c r="D525">
        <v>2493</v>
      </c>
      <c r="E525">
        <v>6</v>
      </c>
      <c r="F525" s="2">
        <f t="shared" si="80"/>
        <v>0.21660649819494585</v>
      </c>
      <c r="G525" s="2">
        <v>3.822881987318397</v>
      </c>
      <c r="H525" s="2">
        <f t="shared" si="81"/>
        <v>0.13801018004759558</v>
      </c>
      <c r="I525">
        <v>1</v>
      </c>
      <c r="J525" s="2">
        <f t="shared" si="82"/>
        <v>3.6101083032490974E-2</v>
      </c>
      <c r="K525" s="2">
        <v>2.0369604807347059</v>
      </c>
      <c r="L525" s="2">
        <f t="shared" si="83"/>
        <v>7.3536479448906358E-2</v>
      </c>
      <c r="M525">
        <v>34</v>
      </c>
      <c r="N525" s="2">
        <f t="shared" si="84"/>
        <v>1.227436823104693</v>
      </c>
      <c r="O525">
        <v>21</v>
      </c>
      <c r="P525" s="2">
        <f t="shared" si="85"/>
        <v>0.75812274368231036</v>
      </c>
      <c r="Q525" t="s">
        <v>223</v>
      </c>
      <c r="R525" t="s">
        <v>126</v>
      </c>
      <c r="S525">
        <v>6</v>
      </c>
      <c r="T525" s="2">
        <f t="shared" si="86"/>
        <v>0.21660649819494585</v>
      </c>
      <c r="U525" s="2">
        <v>3.822881987318397</v>
      </c>
      <c r="V525" s="2">
        <f t="shared" si="87"/>
        <v>0.13801018004759558</v>
      </c>
      <c r="W525" s="2">
        <v>11.24664311110973</v>
      </c>
      <c r="X525" s="2">
        <f t="shared" si="88"/>
        <v>0.40601599679096495</v>
      </c>
      <c r="Y525" s="2">
        <v>6.3338720183819532</v>
      </c>
      <c r="Z525" s="2">
        <f t="shared" si="89"/>
        <v>0.22865963965277811</v>
      </c>
      <c r="AA525">
        <v>2021</v>
      </c>
      <c r="AB525">
        <v>0</v>
      </c>
      <c r="AC525">
        <v>25000000</v>
      </c>
    </row>
    <row r="526" spans="1:29" x14ac:dyDescent="0.2">
      <c r="A526">
        <v>8941</v>
      </c>
      <c r="B526" t="s">
        <v>207</v>
      </c>
      <c r="C526">
        <v>35</v>
      </c>
      <c r="D526">
        <v>2675</v>
      </c>
      <c r="E526">
        <v>6</v>
      </c>
      <c r="F526" s="2">
        <f t="shared" si="80"/>
        <v>0.20186915887850468</v>
      </c>
      <c r="G526" s="2">
        <v>5.2280782908201218</v>
      </c>
      <c r="H526" s="2">
        <f t="shared" si="81"/>
        <v>0.17589796118647136</v>
      </c>
      <c r="I526">
        <v>7</v>
      </c>
      <c r="J526" s="2">
        <f t="shared" si="82"/>
        <v>0.23551401869158881</v>
      </c>
      <c r="K526" s="2">
        <v>5.7284060753881931</v>
      </c>
      <c r="L526" s="2">
        <f t="shared" si="83"/>
        <v>0.1927314193588551</v>
      </c>
      <c r="M526">
        <v>33</v>
      </c>
      <c r="N526" s="2">
        <f t="shared" si="84"/>
        <v>1.1102803738317757</v>
      </c>
      <c r="O526">
        <v>42</v>
      </c>
      <c r="P526" s="2">
        <f t="shared" si="85"/>
        <v>1.4130841121495328</v>
      </c>
      <c r="Q526" t="s">
        <v>223</v>
      </c>
      <c r="R526" t="s">
        <v>126</v>
      </c>
      <c r="S526">
        <v>6</v>
      </c>
      <c r="T526" s="2">
        <f t="shared" si="86"/>
        <v>0.20186915887850468</v>
      </c>
      <c r="U526" s="2">
        <v>5.2280782908201218</v>
      </c>
      <c r="V526" s="2">
        <f t="shared" si="87"/>
        <v>0.17589796118647136</v>
      </c>
      <c r="W526" s="2">
        <v>14.287118025124069</v>
      </c>
      <c r="X526" s="2">
        <f t="shared" si="88"/>
        <v>0.48068808308828642</v>
      </c>
      <c r="Y526" s="2">
        <v>6.7120416462421417</v>
      </c>
      <c r="Z526" s="2">
        <f t="shared" si="89"/>
        <v>0.22582570024739915</v>
      </c>
      <c r="AA526">
        <v>2022</v>
      </c>
      <c r="AB526">
        <v>0</v>
      </c>
      <c r="AC526">
        <v>42000000</v>
      </c>
    </row>
    <row r="527" spans="1:29" x14ac:dyDescent="0.2">
      <c r="A527">
        <v>8941</v>
      </c>
      <c r="B527" t="s">
        <v>207</v>
      </c>
      <c r="C527">
        <v>16</v>
      </c>
      <c r="D527">
        <v>824</v>
      </c>
      <c r="E527">
        <v>1</v>
      </c>
      <c r="F527" s="2">
        <f t="shared" si="80"/>
        <v>0.10922330097087378</v>
      </c>
      <c r="G527" s="2">
        <v>2.316869243979454</v>
      </c>
      <c r="H527" s="2">
        <f t="shared" si="81"/>
        <v>0.25305610674532875</v>
      </c>
      <c r="I527">
        <v>1</v>
      </c>
      <c r="J527" s="2">
        <f t="shared" si="82"/>
        <v>0.10922330097087378</v>
      </c>
      <c r="K527" s="2">
        <v>0.91686270758509636</v>
      </c>
      <c r="L527" s="2">
        <f t="shared" si="83"/>
        <v>0.10014277145953722</v>
      </c>
      <c r="M527">
        <v>19</v>
      </c>
      <c r="N527" s="2">
        <f t="shared" si="84"/>
        <v>2.075242718446602</v>
      </c>
      <c r="O527">
        <v>9</v>
      </c>
      <c r="P527" s="2">
        <f t="shared" si="85"/>
        <v>0.98300970873786409</v>
      </c>
      <c r="Q527" t="s">
        <v>223</v>
      </c>
      <c r="R527" t="s">
        <v>126</v>
      </c>
      <c r="S527">
        <v>1</v>
      </c>
      <c r="T527" s="2">
        <f t="shared" si="86"/>
        <v>0.10922330097087378</v>
      </c>
      <c r="U527" s="2">
        <v>2.316869243979454</v>
      </c>
      <c r="V527" s="2">
        <f t="shared" si="87"/>
        <v>0.25305610674532875</v>
      </c>
      <c r="W527" s="2">
        <v>5.1947365701198578</v>
      </c>
      <c r="X527" s="2">
        <f t="shared" si="88"/>
        <v>0.56738627586260582</v>
      </c>
      <c r="Y527" s="2">
        <v>2.2587811984121799</v>
      </c>
      <c r="Z527" s="2">
        <f t="shared" si="89"/>
        <v>0.24671153866152451</v>
      </c>
      <c r="AA527">
        <v>2023</v>
      </c>
      <c r="AB527">
        <v>1</v>
      </c>
      <c r="AC527">
        <v>35000000</v>
      </c>
    </row>
    <row r="528" spans="1:29" x14ac:dyDescent="0.2">
      <c r="A528">
        <v>8941</v>
      </c>
      <c r="B528" t="s">
        <v>207</v>
      </c>
      <c r="C528">
        <v>29</v>
      </c>
      <c r="D528">
        <v>1665</v>
      </c>
      <c r="E528">
        <v>1</v>
      </c>
      <c r="F528" s="2">
        <f t="shared" si="80"/>
        <v>5.405405405405405E-2</v>
      </c>
      <c r="G528" s="2">
        <v>1.4540390092879529</v>
      </c>
      <c r="H528" s="2">
        <f t="shared" si="81"/>
        <v>7.8596703204754217E-2</v>
      </c>
      <c r="I528">
        <v>3</v>
      </c>
      <c r="J528" s="2">
        <f t="shared" si="82"/>
        <v>0.16216216216216217</v>
      </c>
      <c r="K528" s="2">
        <v>2.8912210771813989</v>
      </c>
      <c r="L528" s="2">
        <f t="shared" si="83"/>
        <v>0.15628222038818371</v>
      </c>
      <c r="M528">
        <v>19</v>
      </c>
      <c r="N528" s="2">
        <f t="shared" si="84"/>
        <v>1.027027027027027</v>
      </c>
      <c r="O528">
        <v>21</v>
      </c>
      <c r="P528" s="2">
        <f t="shared" si="85"/>
        <v>1.1351351351351351</v>
      </c>
      <c r="Q528" t="s">
        <v>223</v>
      </c>
      <c r="R528" t="s">
        <v>126</v>
      </c>
      <c r="S528">
        <v>1</v>
      </c>
      <c r="T528" s="2">
        <f t="shared" si="86"/>
        <v>5.405405405405405E-2</v>
      </c>
      <c r="U528" s="2">
        <v>1.4540390092879529</v>
      </c>
      <c r="V528" s="2">
        <f t="shared" si="87"/>
        <v>7.8596703204754217E-2</v>
      </c>
      <c r="W528" s="2">
        <v>9.2129306923598033</v>
      </c>
      <c r="X528" s="2">
        <f t="shared" si="88"/>
        <v>0.49799625364107047</v>
      </c>
      <c r="Y528" s="2">
        <v>5.7573949676007032</v>
      </c>
      <c r="Z528" s="2">
        <f t="shared" si="89"/>
        <v>0.31121053878922722</v>
      </c>
      <c r="AA528">
        <v>2024</v>
      </c>
      <c r="AB528">
        <v>1</v>
      </c>
      <c r="AC528">
        <v>32000000</v>
      </c>
    </row>
    <row r="529" spans="1:29" x14ac:dyDescent="0.2">
      <c r="A529">
        <v>8965</v>
      </c>
      <c r="B529" t="s">
        <v>208</v>
      </c>
      <c r="C529">
        <v>34</v>
      </c>
      <c r="D529">
        <v>3056</v>
      </c>
      <c r="E529">
        <v>0</v>
      </c>
      <c r="F529" s="2">
        <f t="shared" si="80"/>
        <v>0</v>
      </c>
      <c r="G529" s="2">
        <v>1.399148687720299</v>
      </c>
      <c r="H529" s="2">
        <f t="shared" si="81"/>
        <v>4.1205295122652787E-2</v>
      </c>
      <c r="I529">
        <v>7</v>
      </c>
      <c r="J529" s="2">
        <f t="shared" si="82"/>
        <v>0.20615183246073296</v>
      </c>
      <c r="K529" s="2">
        <v>6.3899406502023339</v>
      </c>
      <c r="L529" s="2">
        <f t="shared" si="83"/>
        <v>0.18818542490779125</v>
      </c>
      <c r="M529">
        <v>15</v>
      </c>
      <c r="N529" s="2">
        <f t="shared" si="84"/>
        <v>0.44175392670157065</v>
      </c>
      <c r="O529">
        <v>45</v>
      </c>
      <c r="P529" s="2">
        <f t="shared" si="85"/>
        <v>1.325261780104712</v>
      </c>
      <c r="Q529" t="s">
        <v>224</v>
      </c>
      <c r="R529" t="s">
        <v>62</v>
      </c>
      <c r="S529">
        <v>0</v>
      </c>
      <c r="T529" s="2">
        <f t="shared" si="86"/>
        <v>0</v>
      </c>
      <c r="U529" s="2">
        <v>1.399148687720299</v>
      </c>
      <c r="V529" s="2">
        <f t="shared" si="87"/>
        <v>4.1205295122652787E-2</v>
      </c>
      <c r="W529" s="2">
        <v>14.980891424231229</v>
      </c>
      <c r="X529" s="2">
        <f t="shared" si="88"/>
        <v>0.44119117414293541</v>
      </c>
      <c r="Y529" s="2">
        <v>8.577498153783381</v>
      </c>
      <c r="Z529" s="2">
        <f t="shared" si="89"/>
        <v>0.25260956604728541</v>
      </c>
      <c r="AA529">
        <v>2020</v>
      </c>
      <c r="AB529">
        <v>0</v>
      </c>
      <c r="AC529">
        <v>12000000</v>
      </c>
    </row>
    <row r="530" spans="1:29" x14ac:dyDescent="0.2">
      <c r="A530">
        <v>8965</v>
      </c>
      <c r="B530" t="s">
        <v>208</v>
      </c>
      <c r="C530">
        <v>28</v>
      </c>
      <c r="D530">
        <v>2211</v>
      </c>
      <c r="E530">
        <v>0</v>
      </c>
      <c r="F530" s="2">
        <f t="shared" si="80"/>
        <v>0</v>
      </c>
      <c r="G530" s="2">
        <v>0.55718079768121243</v>
      </c>
      <c r="H530" s="2">
        <f t="shared" si="81"/>
        <v>2.2680358114567669E-2</v>
      </c>
      <c r="I530">
        <v>4</v>
      </c>
      <c r="J530" s="2">
        <f t="shared" si="82"/>
        <v>0.16282225237449119</v>
      </c>
      <c r="K530" s="2">
        <v>2.7112058661878109</v>
      </c>
      <c r="L530" s="2">
        <f t="shared" si="83"/>
        <v>0.11036116144590818</v>
      </c>
      <c r="M530">
        <v>11</v>
      </c>
      <c r="N530" s="2">
        <f t="shared" si="84"/>
        <v>0.44776119402985076</v>
      </c>
      <c r="O530">
        <v>21</v>
      </c>
      <c r="P530" s="2">
        <f t="shared" si="85"/>
        <v>0.85481682496607869</v>
      </c>
      <c r="Q530" t="s">
        <v>224</v>
      </c>
      <c r="R530" t="s">
        <v>62</v>
      </c>
      <c r="S530">
        <v>0</v>
      </c>
      <c r="T530" s="2">
        <f t="shared" si="86"/>
        <v>0</v>
      </c>
      <c r="U530" s="2">
        <v>0.55718079768121243</v>
      </c>
      <c r="V530" s="2">
        <f t="shared" si="87"/>
        <v>2.2680358114567669E-2</v>
      </c>
      <c r="W530" s="2">
        <v>10.27092268131673</v>
      </c>
      <c r="X530" s="2">
        <f t="shared" si="88"/>
        <v>0.41808369123405953</v>
      </c>
      <c r="Y530" s="2">
        <v>8.4293384207412601</v>
      </c>
      <c r="Z530" s="2">
        <f t="shared" si="89"/>
        <v>0.34312096692298211</v>
      </c>
      <c r="AA530">
        <v>2021</v>
      </c>
      <c r="AB530">
        <v>0</v>
      </c>
      <c r="AC530">
        <v>12000000</v>
      </c>
    </row>
    <row r="531" spans="1:29" x14ac:dyDescent="0.2">
      <c r="A531">
        <v>8965</v>
      </c>
      <c r="B531" t="s">
        <v>208</v>
      </c>
      <c r="C531">
        <v>27</v>
      </c>
      <c r="D531">
        <v>2148</v>
      </c>
      <c r="E531">
        <v>0</v>
      </c>
      <c r="F531" s="2">
        <f t="shared" si="80"/>
        <v>0</v>
      </c>
      <c r="G531" s="2">
        <v>0.18063974846154451</v>
      </c>
      <c r="H531" s="2">
        <f t="shared" si="81"/>
        <v>7.5687045444781222E-3</v>
      </c>
      <c r="I531">
        <v>1</v>
      </c>
      <c r="J531" s="2">
        <f t="shared" si="82"/>
        <v>4.189944134078212E-2</v>
      </c>
      <c r="K531" s="2">
        <v>2.2755535989999771</v>
      </c>
      <c r="L531" s="2">
        <f t="shared" si="83"/>
        <v>9.5344424539105202E-2</v>
      </c>
      <c r="M531">
        <v>6</v>
      </c>
      <c r="N531" s="2">
        <f t="shared" si="84"/>
        <v>0.25139664804469275</v>
      </c>
      <c r="O531">
        <v>25</v>
      </c>
      <c r="P531" s="2">
        <f t="shared" si="85"/>
        <v>1.0474860335195531</v>
      </c>
      <c r="Q531" t="s">
        <v>224</v>
      </c>
      <c r="R531" t="s">
        <v>62</v>
      </c>
      <c r="S531">
        <v>0</v>
      </c>
      <c r="T531" s="2">
        <f t="shared" si="86"/>
        <v>0</v>
      </c>
      <c r="U531" s="2">
        <v>0.18063974846154451</v>
      </c>
      <c r="V531" s="2">
        <f t="shared" si="87"/>
        <v>7.5687045444781222E-3</v>
      </c>
      <c r="W531" s="2">
        <v>4.7740606982260942</v>
      </c>
      <c r="X531" s="2">
        <f t="shared" si="88"/>
        <v>0.20003047618265757</v>
      </c>
      <c r="Y531" s="2">
        <v>3.437881495803595</v>
      </c>
      <c r="Z531" s="2">
        <f t="shared" si="89"/>
        <v>0.14404531406998305</v>
      </c>
      <c r="AA531">
        <v>2022</v>
      </c>
      <c r="AB531">
        <v>1</v>
      </c>
      <c r="AC531">
        <v>9000000</v>
      </c>
    </row>
    <row r="532" spans="1:29" x14ac:dyDescent="0.2">
      <c r="A532">
        <v>8965</v>
      </c>
      <c r="B532" t="s">
        <v>208</v>
      </c>
      <c r="C532">
        <v>36</v>
      </c>
      <c r="D532">
        <v>3153</v>
      </c>
      <c r="E532">
        <v>0</v>
      </c>
      <c r="F532" s="2">
        <f t="shared" si="80"/>
        <v>0</v>
      </c>
      <c r="G532" s="2">
        <v>0.28548409417271609</v>
      </c>
      <c r="H532" s="2">
        <f t="shared" si="81"/>
        <v>8.1489275215808586E-3</v>
      </c>
      <c r="I532">
        <v>7</v>
      </c>
      <c r="J532" s="2">
        <f t="shared" si="82"/>
        <v>0.19980970504281637</v>
      </c>
      <c r="K532" s="2">
        <v>4.3009482566267252</v>
      </c>
      <c r="L532" s="2">
        <f t="shared" si="83"/>
        <v>0.1227673146515716</v>
      </c>
      <c r="M532">
        <v>8</v>
      </c>
      <c r="N532" s="2">
        <f t="shared" si="84"/>
        <v>0.22835394862036157</v>
      </c>
      <c r="O532">
        <v>33</v>
      </c>
      <c r="P532" s="2">
        <f t="shared" si="85"/>
        <v>0.94196003805899142</v>
      </c>
      <c r="Q532" t="s">
        <v>224</v>
      </c>
      <c r="R532" t="s">
        <v>62</v>
      </c>
      <c r="S532">
        <v>0</v>
      </c>
      <c r="T532" s="2">
        <f t="shared" si="86"/>
        <v>0</v>
      </c>
      <c r="U532" s="2">
        <v>0.28548409417271609</v>
      </c>
      <c r="V532" s="2">
        <f t="shared" si="87"/>
        <v>8.1489275215808586E-3</v>
      </c>
      <c r="W532" s="2">
        <v>10.10669380053878</v>
      </c>
      <c r="X532" s="2">
        <f t="shared" si="88"/>
        <v>0.28848792960624492</v>
      </c>
      <c r="Y532" s="2">
        <v>6.9673542901873589</v>
      </c>
      <c r="Z532" s="2">
        <f t="shared" si="89"/>
        <v>0.19887785795016247</v>
      </c>
      <c r="AA532">
        <v>2023</v>
      </c>
      <c r="AB532">
        <v>1</v>
      </c>
      <c r="AC532">
        <v>8000000</v>
      </c>
    </row>
    <row r="533" spans="1:29" x14ac:dyDescent="0.2">
      <c r="A533">
        <v>9017</v>
      </c>
      <c r="B533" t="s">
        <v>209</v>
      </c>
      <c r="C533">
        <v>30</v>
      </c>
      <c r="D533">
        <v>1880</v>
      </c>
      <c r="E533">
        <v>0</v>
      </c>
      <c r="F533" s="2">
        <f t="shared" si="80"/>
        <v>0</v>
      </c>
      <c r="G533" s="2">
        <v>0.50909742899239063</v>
      </c>
      <c r="H533" s="2">
        <f t="shared" si="81"/>
        <v>2.4371685430486786E-2</v>
      </c>
      <c r="I533">
        <v>4</v>
      </c>
      <c r="J533" s="2">
        <f t="shared" si="82"/>
        <v>0.19148936170212766</v>
      </c>
      <c r="K533" s="2">
        <v>4.3343280991539359</v>
      </c>
      <c r="L533" s="2">
        <f t="shared" si="83"/>
        <v>0.20749443027864586</v>
      </c>
      <c r="M533">
        <v>11</v>
      </c>
      <c r="N533" s="2">
        <f t="shared" si="84"/>
        <v>0.52659574468085102</v>
      </c>
      <c r="O533">
        <v>25</v>
      </c>
      <c r="P533" s="2">
        <f t="shared" si="85"/>
        <v>1.196808510638298</v>
      </c>
      <c r="Q533" t="s">
        <v>224</v>
      </c>
      <c r="R533" t="s">
        <v>82</v>
      </c>
      <c r="S533">
        <v>0</v>
      </c>
      <c r="T533" s="2">
        <f t="shared" si="86"/>
        <v>0</v>
      </c>
      <c r="U533" s="2">
        <v>0.50909742899239063</v>
      </c>
      <c r="V533" s="2">
        <f t="shared" si="87"/>
        <v>2.4371685430486786E-2</v>
      </c>
      <c r="W533" s="2">
        <v>11.57813101448119</v>
      </c>
      <c r="X533" s="2">
        <f t="shared" si="88"/>
        <v>0.55427222941665277</v>
      </c>
      <c r="Y533" s="2">
        <v>8.4362947773188353</v>
      </c>
      <c r="Z533" s="2">
        <f t="shared" si="89"/>
        <v>0.40386517550994422</v>
      </c>
      <c r="AA533">
        <v>2021</v>
      </c>
      <c r="AB533">
        <v>0</v>
      </c>
      <c r="AC533">
        <v>12000000</v>
      </c>
    </row>
    <row r="534" spans="1:29" x14ac:dyDescent="0.2">
      <c r="A534">
        <v>9017</v>
      </c>
      <c r="B534" t="s">
        <v>209</v>
      </c>
      <c r="C534">
        <v>21</v>
      </c>
      <c r="D534">
        <v>1616</v>
      </c>
      <c r="E534">
        <v>0</v>
      </c>
      <c r="F534" s="2">
        <f t="shared" si="80"/>
        <v>0</v>
      </c>
      <c r="G534" s="2">
        <v>0.61757919006049633</v>
      </c>
      <c r="H534" s="2">
        <f t="shared" si="81"/>
        <v>3.439488063455734E-2</v>
      </c>
      <c r="I534">
        <v>1</v>
      </c>
      <c r="J534" s="2">
        <f t="shared" si="82"/>
        <v>5.5693069306930694E-2</v>
      </c>
      <c r="K534" s="2">
        <v>2.9892009682953362</v>
      </c>
      <c r="L534" s="2">
        <f t="shared" si="83"/>
        <v>0.1664777766996165</v>
      </c>
      <c r="M534">
        <v>7</v>
      </c>
      <c r="N534" s="2">
        <f t="shared" si="84"/>
        <v>0.38985148514851486</v>
      </c>
      <c r="O534">
        <v>23</v>
      </c>
      <c r="P534" s="2">
        <f t="shared" si="85"/>
        <v>1.2809405940594061</v>
      </c>
      <c r="Q534" t="s">
        <v>224</v>
      </c>
      <c r="R534" t="s">
        <v>82</v>
      </c>
      <c r="S534">
        <v>0</v>
      </c>
      <c r="T534" s="2">
        <f t="shared" si="86"/>
        <v>0</v>
      </c>
      <c r="U534" s="2">
        <v>0.61757919006049633</v>
      </c>
      <c r="V534" s="2">
        <f t="shared" si="87"/>
        <v>3.439488063455734E-2</v>
      </c>
      <c r="W534" s="2">
        <v>7.8033302817493677</v>
      </c>
      <c r="X534" s="2">
        <f t="shared" si="88"/>
        <v>0.43459141420633857</v>
      </c>
      <c r="Y534" s="2">
        <v>6.3122915122658014</v>
      </c>
      <c r="Z534" s="2">
        <f t="shared" si="89"/>
        <v>0.35155088867816964</v>
      </c>
      <c r="AA534">
        <v>2022</v>
      </c>
      <c r="AB534">
        <v>0</v>
      </c>
      <c r="AC534">
        <v>25000000</v>
      </c>
    </row>
    <row r="535" spans="1:29" x14ac:dyDescent="0.2">
      <c r="A535">
        <v>9017</v>
      </c>
      <c r="B535" t="s">
        <v>209</v>
      </c>
      <c r="C535">
        <v>27</v>
      </c>
      <c r="D535">
        <v>1754</v>
      </c>
      <c r="E535">
        <v>0</v>
      </c>
      <c r="F535" s="2">
        <f t="shared" si="80"/>
        <v>0</v>
      </c>
      <c r="G535" s="2">
        <v>1.7004573903977871</v>
      </c>
      <c r="H535" s="2">
        <f t="shared" si="81"/>
        <v>8.7252659712543229E-2</v>
      </c>
      <c r="I535">
        <v>6</v>
      </c>
      <c r="J535" s="2">
        <f t="shared" si="82"/>
        <v>0.30786773090079816</v>
      </c>
      <c r="K535" s="2">
        <v>5.5073099508881569</v>
      </c>
      <c r="L535" s="2">
        <f t="shared" si="83"/>
        <v>0.28258716965788722</v>
      </c>
      <c r="M535">
        <v>15</v>
      </c>
      <c r="N535" s="2">
        <f t="shared" si="84"/>
        <v>0.76966932725199544</v>
      </c>
      <c r="O535">
        <v>32</v>
      </c>
      <c r="P535" s="2">
        <f t="shared" si="85"/>
        <v>1.6419612314709235</v>
      </c>
      <c r="Q535" t="s">
        <v>224</v>
      </c>
      <c r="R535" t="s">
        <v>56</v>
      </c>
      <c r="S535">
        <v>0</v>
      </c>
      <c r="T535" s="2">
        <f t="shared" si="86"/>
        <v>0</v>
      </c>
      <c r="U535" s="2">
        <v>1.7004573903977871</v>
      </c>
      <c r="V535" s="2">
        <f t="shared" si="87"/>
        <v>8.7252659712543229E-2</v>
      </c>
      <c r="W535" s="2">
        <v>14.04190255515277</v>
      </c>
      <c r="X535" s="2">
        <f t="shared" si="88"/>
        <v>0.72050811286416716</v>
      </c>
      <c r="Y535" s="2">
        <v>10.58573571033776</v>
      </c>
      <c r="Z535" s="2">
        <f t="shared" si="89"/>
        <v>0.54316773884287251</v>
      </c>
      <c r="AA535">
        <v>2023</v>
      </c>
      <c r="AB535">
        <v>1</v>
      </c>
      <c r="AC535">
        <v>35000000</v>
      </c>
    </row>
    <row r="536" spans="1:29" x14ac:dyDescent="0.2">
      <c r="A536">
        <v>9017</v>
      </c>
      <c r="B536" t="s">
        <v>209</v>
      </c>
      <c r="C536">
        <v>32</v>
      </c>
      <c r="D536">
        <v>1838</v>
      </c>
      <c r="E536">
        <v>0</v>
      </c>
      <c r="F536" s="2">
        <f t="shared" si="80"/>
        <v>0</v>
      </c>
      <c r="G536" s="2">
        <v>1.556214798241853</v>
      </c>
      <c r="H536" s="2">
        <f t="shared" si="81"/>
        <v>7.620203038180999E-2</v>
      </c>
      <c r="I536">
        <v>1</v>
      </c>
      <c r="J536" s="2">
        <f t="shared" si="82"/>
        <v>4.896626768226333E-2</v>
      </c>
      <c r="K536" s="2">
        <v>1.343290576711297</v>
      </c>
      <c r="L536" s="2">
        <f t="shared" si="83"/>
        <v>6.5775925954307257E-2</v>
      </c>
      <c r="M536">
        <v>22</v>
      </c>
      <c r="N536" s="2">
        <f t="shared" si="84"/>
        <v>1.0772578890097932</v>
      </c>
      <c r="O536">
        <v>22</v>
      </c>
      <c r="P536" s="2">
        <f t="shared" si="85"/>
        <v>1.0772578890097932</v>
      </c>
      <c r="Q536" t="s">
        <v>224</v>
      </c>
      <c r="R536" t="s">
        <v>56</v>
      </c>
      <c r="S536">
        <v>0</v>
      </c>
      <c r="T536" s="2">
        <f t="shared" si="86"/>
        <v>0</v>
      </c>
      <c r="U536" s="2">
        <v>1.556214798241853</v>
      </c>
      <c r="V536" s="2">
        <f t="shared" si="87"/>
        <v>7.620203038180999E-2</v>
      </c>
      <c r="W536" s="2">
        <v>10.98021077364683</v>
      </c>
      <c r="X536" s="2">
        <f t="shared" si="88"/>
        <v>0.53765993995006245</v>
      </c>
      <c r="Y536" s="2">
        <v>9.0307433102279902</v>
      </c>
      <c r="Z536" s="2">
        <f t="shared" si="89"/>
        <v>0.44220179429843259</v>
      </c>
      <c r="AA536">
        <v>2024</v>
      </c>
      <c r="AB536">
        <v>1</v>
      </c>
      <c r="AC536">
        <v>35000000</v>
      </c>
    </row>
    <row r="537" spans="1:29" x14ac:dyDescent="0.2">
      <c r="A537">
        <v>9662</v>
      </c>
      <c r="B537" t="s">
        <v>210</v>
      </c>
      <c r="C537">
        <v>25</v>
      </c>
      <c r="D537">
        <v>781</v>
      </c>
      <c r="E537">
        <v>1</v>
      </c>
      <c r="F537" s="2">
        <f t="shared" si="80"/>
        <v>0.11523687580025607</v>
      </c>
      <c r="G537" s="2">
        <v>1.7316420748829839</v>
      </c>
      <c r="H537" s="2">
        <f t="shared" si="81"/>
        <v>0.19954902271378819</v>
      </c>
      <c r="I537">
        <v>2</v>
      </c>
      <c r="J537" s="2">
        <f t="shared" si="82"/>
        <v>0.23047375160051214</v>
      </c>
      <c r="K537" s="2">
        <v>1.251447079703212</v>
      </c>
      <c r="L537" s="2">
        <f t="shared" si="83"/>
        <v>0.14421285169435222</v>
      </c>
      <c r="M537">
        <v>23</v>
      </c>
      <c r="N537" s="2">
        <f t="shared" si="84"/>
        <v>2.6504481434058902</v>
      </c>
      <c r="O537">
        <v>8</v>
      </c>
      <c r="P537" s="2">
        <f t="shared" si="85"/>
        <v>0.92189500640204858</v>
      </c>
      <c r="Q537" t="s">
        <v>223</v>
      </c>
      <c r="R537" t="s">
        <v>156</v>
      </c>
      <c r="S537">
        <v>1</v>
      </c>
      <c r="T537" s="2">
        <f t="shared" si="86"/>
        <v>0.11523687580025607</v>
      </c>
      <c r="U537" s="2">
        <v>1.7316420748829839</v>
      </c>
      <c r="V537" s="2">
        <f t="shared" si="87"/>
        <v>0.19954902271378819</v>
      </c>
      <c r="W537" s="2">
        <v>3.3100884146988392</v>
      </c>
      <c r="X537" s="2">
        <f t="shared" si="88"/>
        <v>0.38144424753251666</v>
      </c>
      <c r="Y537" s="2">
        <v>0.75851390510797501</v>
      </c>
      <c r="Z537" s="2">
        <f t="shared" si="89"/>
        <v>8.7408772675694954E-2</v>
      </c>
      <c r="AA537">
        <v>2021</v>
      </c>
      <c r="AB537">
        <v>0</v>
      </c>
      <c r="AC537">
        <v>900000</v>
      </c>
    </row>
    <row r="538" spans="1:29" x14ac:dyDescent="0.2">
      <c r="A538">
        <v>9662</v>
      </c>
      <c r="B538" t="s">
        <v>210</v>
      </c>
      <c r="C538">
        <v>18</v>
      </c>
      <c r="D538">
        <v>1560</v>
      </c>
      <c r="E538">
        <v>6</v>
      </c>
      <c r="F538" s="2">
        <f t="shared" si="80"/>
        <v>0.34615384615384615</v>
      </c>
      <c r="G538" s="2">
        <v>5.9984999392181626</v>
      </c>
      <c r="H538" s="2">
        <f t="shared" si="81"/>
        <v>0.34606730418566323</v>
      </c>
      <c r="I538">
        <v>5</v>
      </c>
      <c r="J538" s="2">
        <f t="shared" si="82"/>
        <v>0.28846153846153844</v>
      </c>
      <c r="K538" s="2">
        <v>3.976012546569109</v>
      </c>
      <c r="L538" s="2">
        <f t="shared" si="83"/>
        <v>0.2293853392251409</v>
      </c>
      <c r="M538">
        <v>51</v>
      </c>
      <c r="N538" s="2">
        <f t="shared" si="84"/>
        <v>2.9423076923076925</v>
      </c>
      <c r="O538">
        <v>23</v>
      </c>
      <c r="P538" s="2">
        <f t="shared" si="85"/>
        <v>1.3269230769230769</v>
      </c>
      <c r="Q538" t="s">
        <v>223</v>
      </c>
      <c r="R538" t="s">
        <v>156</v>
      </c>
      <c r="S538">
        <v>6</v>
      </c>
      <c r="T538" s="2">
        <f t="shared" si="86"/>
        <v>0.34615384615384615</v>
      </c>
      <c r="U538" s="2">
        <v>5.9984999392181626</v>
      </c>
      <c r="V538" s="2">
        <f t="shared" si="87"/>
        <v>0.34606730418566323</v>
      </c>
      <c r="W538" s="2">
        <v>8.8875389322638512</v>
      </c>
      <c r="X538" s="2">
        <f t="shared" si="88"/>
        <v>0.5127426307075299</v>
      </c>
      <c r="Y538" s="2">
        <v>2.318863902240992</v>
      </c>
      <c r="Z538" s="2">
        <f t="shared" si="89"/>
        <v>0.13378060974467262</v>
      </c>
      <c r="AA538">
        <v>2022</v>
      </c>
      <c r="AB538">
        <v>0</v>
      </c>
      <c r="AC538">
        <v>10000000</v>
      </c>
    </row>
    <row r="539" spans="1:29" x14ac:dyDescent="0.2">
      <c r="A539">
        <v>9662</v>
      </c>
      <c r="B539" t="s">
        <v>210</v>
      </c>
      <c r="C539">
        <v>19</v>
      </c>
      <c r="D539">
        <v>1254</v>
      </c>
      <c r="E539">
        <v>1</v>
      </c>
      <c r="F539" s="2">
        <f t="shared" si="80"/>
        <v>7.1770334928229665E-2</v>
      </c>
      <c r="G539" s="2">
        <v>3.2873998740687971</v>
      </c>
      <c r="H539" s="2">
        <f t="shared" si="81"/>
        <v>0.23593779000493759</v>
      </c>
      <c r="I539">
        <v>3</v>
      </c>
      <c r="J539" s="2">
        <f t="shared" si="82"/>
        <v>0.21531100478468898</v>
      </c>
      <c r="K539" s="2">
        <v>2.4152716528624301</v>
      </c>
      <c r="L539" s="2">
        <f t="shared" si="83"/>
        <v>0.17334485546859546</v>
      </c>
      <c r="M539">
        <v>26</v>
      </c>
      <c r="N539" s="2">
        <f t="shared" si="84"/>
        <v>1.8660287081339713</v>
      </c>
      <c r="O539">
        <v>18</v>
      </c>
      <c r="P539" s="2">
        <f t="shared" si="85"/>
        <v>1.2918660287081341</v>
      </c>
      <c r="Q539" t="s">
        <v>223</v>
      </c>
      <c r="R539" t="s">
        <v>211</v>
      </c>
      <c r="S539">
        <v>1</v>
      </c>
      <c r="T539" s="2">
        <f t="shared" si="86"/>
        <v>7.1770334928229665E-2</v>
      </c>
      <c r="U539" s="2">
        <v>3.2873998740687971</v>
      </c>
      <c r="V539" s="2">
        <f t="shared" si="87"/>
        <v>0.23593779000493759</v>
      </c>
      <c r="W539" s="2">
        <v>6.022867782972753</v>
      </c>
      <c r="X539" s="2">
        <f t="shared" si="88"/>
        <v>0.43226323801239858</v>
      </c>
      <c r="Y539" s="2">
        <v>2.4851646795868869</v>
      </c>
      <c r="Z539" s="2">
        <f t="shared" si="89"/>
        <v>0.17836110140575745</v>
      </c>
      <c r="AA539">
        <v>2022</v>
      </c>
      <c r="AB539">
        <v>0</v>
      </c>
      <c r="AC539">
        <v>25000000</v>
      </c>
    </row>
    <row r="540" spans="1:29" x14ac:dyDescent="0.2">
      <c r="A540">
        <v>9662</v>
      </c>
      <c r="B540" t="s">
        <v>210</v>
      </c>
      <c r="C540">
        <v>30</v>
      </c>
      <c r="D540">
        <v>1200</v>
      </c>
      <c r="E540">
        <v>1</v>
      </c>
      <c r="F540" s="2">
        <f t="shared" si="80"/>
        <v>7.5000000000000011E-2</v>
      </c>
      <c r="G540" s="2">
        <v>2.8214692445471878</v>
      </c>
      <c r="H540" s="2">
        <f t="shared" si="81"/>
        <v>0.21161019334103909</v>
      </c>
      <c r="I540">
        <v>2</v>
      </c>
      <c r="J540" s="2">
        <f t="shared" si="82"/>
        <v>0.15000000000000002</v>
      </c>
      <c r="K540" s="2">
        <v>1.69136568531394</v>
      </c>
      <c r="L540" s="2">
        <f t="shared" si="83"/>
        <v>0.12685242639854552</v>
      </c>
      <c r="M540">
        <v>30</v>
      </c>
      <c r="N540" s="2">
        <f t="shared" si="84"/>
        <v>2.25</v>
      </c>
      <c r="O540">
        <v>17</v>
      </c>
      <c r="P540" s="2">
        <f t="shared" si="85"/>
        <v>1.2749999999999999</v>
      </c>
      <c r="Q540" t="s">
        <v>223</v>
      </c>
      <c r="R540" t="s">
        <v>211</v>
      </c>
      <c r="S540">
        <v>1</v>
      </c>
      <c r="T540" s="2">
        <f t="shared" si="86"/>
        <v>7.5000000000000011E-2</v>
      </c>
      <c r="U540" s="2">
        <v>2.8214692445471878</v>
      </c>
      <c r="V540" s="2">
        <f t="shared" si="87"/>
        <v>0.21161019334103909</v>
      </c>
      <c r="W540" s="2">
        <v>5.1849251314997673</v>
      </c>
      <c r="X540" s="2">
        <f t="shared" si="88"/>
        <v>0.38886938486248257</v>
      </c>
      <c r="Y540" s="2">
        <v>3.138290878385305</v>
      </c>
      <c r="Z540" s="2">
        <f t="shared" si="89"/>
        <v>0.23537181587889788</v>
      </c>
      <c r="AA540">
        <v>2023</v>
      </c>
      <c r="AB540">
        <v>1</v>
      </c>
      <c r="AC540">
        <v>20000000</v>
      </c>
    </row>
    <row r="541" spans="1:29" x14ac:dyDescent="0.2">
      <c r="A541">
        <v>9662</v>
      </c>
      <c r="B541" t="s">
        <v>210</v>
      </c>
      <c r="C541">
        <v>32</v>
      </c>
      <c r="D541">
        <v>2013</v>
      </c>
      <c r="E541">
        <v>7</v>
      </c>
      <c r="F541" s="2">
        <f t="shared" si="80"/>
        <v>0.31296572280178836</v>
      </c>
      <c r="G541" s="2">
        <v>10.933680262416599</v>
      </c>
      <c r="H541" s="2">
        <f t="shared" si="81"/>
        <v>0.4888381637444083</v>
      </c>
      <c r="I541">
        <v>4</v>
      </c>
      <c r="J541" s="2">
        <f t="shared" si="82"/>
        <v>0.17883755588673622</v>
      </c>
      <c r="K541" s="2">
        <v>5.9895047340542078</v>
      </c>
      <c r="L541" s="2">
        <f t="shared" si="83"/>
        <v>0.26778709690257263</v>
      </c>
      <c r="M541">
        <v>62</v>
      </c>
      <c r="N541" s="2">
        <f t="shared" si="84"/>
        <v>2.7719821162444114</v>
      </c>
      <c r="O541">
        <v>35</v>
      </c>
      <c r="P541" s="2">
        <f t="shared" si="85"/>
        <v>1.5648286140089418</v>
      </c>
      <c r="Q541" t="s">
        <v>223</v>
      </c>
      <c r="R541" t="s">
        <v>211</v>
      </c>
      <c r="S541">
        <v>7</v>
      </c>
      <c r="T541" s="2">
        <f t="shared" si="86"/>
        <v>0.31296572280178836</v>
      </c>
      <c r="U541" s="2">
        <v>10.933680262416599</v>
      </c>
      <c r="V541" s="2">
        <f t="shared" si="87"/>
        <v>0.4888381637444083</v>
      </c>
      <c r="W541" s="2">
        <v>18.476627525873479</v>
      </c>
      <c r="X541" s="2">
        <f t="shared" si="88"/>
        <v>0.82607872693920181</v>
      </c>
      <c r="Y541" s="2">
        <v>4.4393982803449026</v>
      </c>
      <c r="Z541" s="2">
        <f t="shared" si="89"/>
        <v>0.19848278451616555</v>
      </c>
      <c r="AA541">
        <v>2024</v>
      </c>
      <c r="AB541">
        <v>1</v>
      </c>
      <c r="AC541">
        <v>28000000</v>
      </c>
    </row>
  </sheetData>
  <autoFilter ref="A1:AC541" xr:uid="{00000000-0001-0000-0000-000000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Sarujan Beemsing</cp:lastModifiedBy>
  <dcterms:created xsi:type="dcterms:W3CDTF">2026-02-18T16:25:44Z</dcterms:created>
  <dcterms:modified xsi:type="dcterms:W3CDTF">2026-02-19T16:11:10Z</dcterms:modified>
</cp:coreProperties>
</file>